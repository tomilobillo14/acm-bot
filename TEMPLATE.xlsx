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 ACM con tiempo" sheetId="1" state="visible" r:id="rId3"/>
    <sheet name="TABLA DE COEFICIEN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<sst xmlns="http://schemas.openxmlformats.org/spreadsheetml/2006/main" count="95" uniqueCount="88">
  <si>
    <t xml:space="preserve">Datos de los antecedentes</t>
  </si>
  <si>
    <t xml:space="preserve">Coeficientes Correctores</t>
  </si>
  <si>
    <t xml:space="preserve">Qty</t>
  </si>
  <si>
    <t xml:space="preserve">Ubicación
</t>
  </si>
  <si>
    <t xml:space="preserve">Tipo de oferta</t>
  </si>
  <si>
    <t xml:space="preserve">Piso
Planta</t>
  </si>
  <si>
    <t xml:space="preserve">Antigüedad y Estado
Planta</t>
  </si>
  <si>
    <t xml:space="preserve">Fecha
Publicación
</t>
  </si>
  <si>
    <t xml:space="preserve">Importe $</t>
  </si>
  <si>
    <t xml:space="preserve">Cochera</t>
  </si>
  <si>
    <t xml:space="preserve">sup total </t>
  </si>
  <si>
    <t xml:space="preserve">Sup Cubierta</t>
  </si>
  <si>
    <t xml:space="preserve">Sup Semi cubierta</t>
  </si>
  <si>
    <t xml:space="preserve">Sup Descubierta</t>
  </si>
  <si>
    <t xml:space="preserve">Sup. 
Homolog.</t>
  </si>
  <si>
    <t xml:space="preserve">Valor Unitario
$/m2</t>
  </si>
  <si>
    <t xml:space="preserve">Ub.</t>
  </si>
  <si>
    <t xml:space="preserve">Sup.
Propia</t>
  </si>
  <si>
    <t xml:space="preserve">Caract.
Const.</t>
  </si>
  <si>
    <t xml:space="preserve">Edad
Estado</t>
  </si>
  <si>
    <t xml:space="preserve">Qty dias de oferta</t>
  </si>
  <si>
    <t xml:space="preserve">Coef.
Total</t>
  </si>
  <si>
    <t xml:space="preserve">Valor Unit.
Resultante
$/m2</t>
  </si>
  <si>
    <t xml:space="preserve">Carlos Croce 1945</t>
  </si>
  <si>
    <t xml:space="preserve">oferta</t>
  </si>
  <si>
    <t xml:space="preserve">400 Dias</t>
  </si>
  <si>
    <t xml:space="preserve">Tucuman 1861</t>
  </si>
  <si>
    <t xml:space="preserve">400 Dias </t>
  </si>
  <si>
    <t xml:space="preserve">Godoy Cruz 1026</t>
  </si>
  <si>
    <t xml:space="preserve">Montevideo 500, Tribunales</t>
  </si>
  <si>
    <t xml:space="preserve">194 Dias</t>
  </si>
  <si>
    <t xml:space="preserve">Lavalle 1500, San Nicolas</t>
  </si>
  <si>
    <t xml:space="preserve">50 Dias</t>
  </si>
  <si>
    <t xml:space="preserve">DATOS RESULTANTES</t>
  </si>
  <si>
    <t xml:space="preserve">ANALISIS RESULTANTES</t>
  </si>
  <si>
    <t xml:space="preserve">Vieytes 930</t>
  </si>
  <si>
    <t xml:space="preserve">ACM </t>
  </si>
  <si>
    <t xml:space="preserve">25 años </t>
  </si>
  <si>
    <t xml:space="preserve">500 dias</t>
  </si>
  <si>
    <t xml:space="preserve">TABLA DE COEFICIENTES PARA LA TASACION DE DEPARTAMENTO</t>
  </si>
  <si>
    <t xml:space="preserve">COEFICIENTES DE HOMOGENEIZACIÓN DE SUPERFICIES</t>
  </si>
  <si>
    <t xml:space="preserve">Tipos de superficie porcentaje coeficiente</t>
  </si>
  <si>
    <t xml:space="preserve">Cubierta</t>
  </si>
  <si>
    <t xml:space="preserve">Semi Cubierta</t>
  </si>
  <si>
    <t xml:space="preserve">De Balcon</t>
  </si>
  <si>
    <t xml:space="preserve">Descubierta</t>
  </si>
  <si>
    <t xml:space="preserve">COEF. DE UBICACIÓN EN PISO EDIFICIOS</t>
  </si>
  <si>
    <t xml:space="preserve">C/ASCENSORES</t>
  </si>
  <si>
    <t xml:space="preserve">POR ESCALERA</t>
  </si>
  <si>
    <t xml:space="preserve">Planta Baja</t>
  </si>
  <si>
    <t xml:space="preserve">Planta Baja (con patio y / o  jardín al fondo)</t>
  </si>
  <si>
    <t xml:space="preserve">1er. Piso</t>
  </si>
  <si>
    <t xml:space="preserve">2do. Piso</t>
  </si>
  <si>
    <t xml:space="preserve">3er. Y 4to. Pisos</t>
  </si>
  <si>
    <t xml:space="preserve">5to. Y 6to. Pisos</t>
  </si>
  <si>
    <t xml:space="preserve">7mo. Y 8vo. Pisos </t>
  </si>
  <si>
    <t xml:space="preserve">Pisos superiores</t>
  </si>
  <si>
    <t xml:space="preserve">Último Piso</t>
  </si>
  <si>
    <t xml:space="preserve">POR UBICACIÓN EN PLANTA DEL DEPARTAMENTO DENTRO DEL EDIFICIO</t>
  </si>
  <si>
    <t xml:space="preserve">Departamento ubicado al frente</t>
  </si>
  <si>
    <t xml:space="preserve">Departamento ubicado al contrafrente</t>
  </si>
  <si>
    <t xml:space="preserve">Departamento a patio interior</t>
  </si>
  <si>
    <t xml:space="preserve">Departamento lateral</t>
  </si>
  <si>
    <t xml:space="preserve">COEFICIENTES SEGÚN LA SUPER CUBIERTA</t>
  </si>
  <si>
    <t xml:space="preserve">Superficie cubierta</t>
  </si>
  <si>
    <t xml:space="preserve">hasta 30 m2</t>
  </si>
  <si>
    <t xml:space="preserve">de 30 a 50 m2</t>
  </si>
  <si>
    <t xml:space="preserve">de 50 a 100 m2</t>
  </si>
  <si>
    <t xml:space="preserve">de 100 a 150 m2</t>
  </si>
  <si>
    <t xml:space="preserve">de 150 a 250 m2</t>
  </si>
  <si>
    <t xml:space="preserve">Categorías Constructivas</t>
  </si>
  <si>
    <t xml:space="preserve">Económica</t>
  </si>
  <si>
    <t xml:space="preserve">0.8/0.9</t>
  </si>
  <si>
    <t xml:space="preserve">Standard</t>
  </si>
  <si>
    <t xml:space="preserve">Buena sin climatizacion central</t>
  </si>
  <si>
    <t xml:space="preserve">1,05/1,10</t>
  </si>
  <si>
    <t xml:space="preserve">Buena con climatizacion ce tral</t>
  </si>
  <si>
    <t xml:space="preserve">1,15/1,20</t>
  </si>
  <si>
    <t xml:space="preserve">Muy Buena</t>
  </si>
  <si>
    <t xml:space="preserve">1,25/1,30</t>
  </si>
  <si>
    <t xml:space="preserve">COEFICIENTES POR ANTIGÜEDAD Y ESTADO</t>
  </si>
  <si>
    <t xml:space="preserve">A reciclar</t>
  </si>
  <si>
    <t xml:space="preserve">Reciclado al 100%</t>
  </si>
  <si>
    <t xml:space="preserve">Nuevo</t>
  </si>
  <si>
    <t xml:space="preserve">COEFICIENTES POR TIEMPO DE PUBLICACIÓN</t>
  </si>
  <si>
    <t xml:space="preserve">INGRESE LA CANTIDAD DE DIAS PUBLICADOS</t>
  </si>
  <si>
    <t xml:space="preserve">COEFICIENTE RESULTANTE</t>
  </si>
  <si>
    <t xml:space="preserve">0.25 CADA 50 DIAS + 1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</si>
</sst>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"/>
    <numFmt numFmtId="167" formatCode="_([$USD]\ * #,##0.00_);_([$USD]\ * \(#,##0.00\);_([$USD]\ * \-??_);_(@_)"/>
    <numFmt numFmtId="168" formatCode="#,##0.00"/>
    <numFmt numFmtId="169" formatCode="[$-F400]h:mm:ss\ AM/PM"/>
    <numFmt numFmtId="170" formatCode="m/d/yyyy"/>
    <numFmt numFmtId="171" formatCode="0%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0"/>
      <name val="Century Gothic"/>
      <family val="1"/>
      <charset val="1"/>
    </font>
    <font>
      <sz val="8"/>
      <color theme="0"/>
      <name val="Century Gothic"/>
      <family val="1"/>
      <charset val="1"/>
    </font>
    <font>
      <sz val="7"/>
      <color theme="1"/>
      <name val="Century Gothic"/>
      <family val="1"/>
      <charset val="1"/>
    </font>
    <font>
      <sz val="8"/>
      <color theme="1"/>
      <name val="Century Gothic"/>
      <family val="1"/>
      <charset val="1"/>
    </font>
    <font>
      <sz val="10"/>
      <color theme="1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8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F3F3F"/>
        <bgColor rgb="FF33330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/>
      <top style="thick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4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1000"/>
  <sheetViews>
    <sheetView showFormulas="false" showGridLines="true" showRowColHeaders="true" showZeros="true" rightToLeft="false" tabSelected="true" showOutlineSymbols="true" defaultGridColor="true" view="normal" topLeftCell="A1" colorId="64" zoomScale="111" zoomScaleNormal="111" zoomScalePageLayoutView="100" workbookViewId="0">
      <selection pane="topLeft" activeCell="D4" activeCellId="0" sqref="D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9.86"/>
    <col collapsed="false" customWidth="true" hidden="false" outlineLevel="0" max="2" min="2" style="1" width="15.85"/>
    <col collapsed="false" customWidth="true" hidden="false" outlineLevel="0" max="3" min="3" style="1" width="5.14"/>
    <col collapsed="false" customWidth="true" hidden="false" outlineLevel="0" max="4" min="4" style="1" width="10.42"/>
    <col collapsed="false" customWidth="true" hidden="false" outlineLevel="0" max="5" min="5" style="1" width="6.14"/>
    <col collapsed="false" customWidth="true" hidden="false" outlineLevel="0" max="6" min="6" style="1" width="11"/>
    <col collapsed="false" customWidth="true" hidden="false" outlineLevel="0" max="7" min="7" style="1" width="12.42"/>
    <col collapsed="false" customWidth="true" hidden="false" outlineLevel="0" max="8" min="8" style="1" width="11.43"/>
    <col collapsed="false" customWidth="true" hidden="false" outlineLevel="0" max="9" min="9" style="1" width="9.42"/>
    <col collapsed="false" customWidth="true" hidden="false" outlineLevel="0" max="10" min="10" style="1" width="8.15"/>
    <col collapsed="false" customWidth="true" hidden="false" outlineLevel="0" max="11" min="11" style="1" width="7.71"/>
    <col collapsed="false" customWidth="true" hidden="false" outlineLevel="0" max="12" min="12" style="1" width="8"/>
    <col collapsed="false" customWidth="true" hidden="false" outlineLevel="0" max="13" min="13" style="1" width="6.43"/>
    <col collapsed="false" customWidth="true" hidden="false" outlineLevel="0" max="14" min="14" style="1" width="12"/>
    <col collapsed="false" customWidth="true" hidden="false" outlineLevel="0" max="15" min="15" style="1" width="5"/>
    <col collapsed="false" customWidth="true" hidden="false" outlineLevel="0" max="16" min="16" style="1" width="5.29"/>
    <col collapsed="false" customWidth="true" hidden="false" outlineLevel="0" max="17" min="17" style="1" width="9.29"/>
    <col collapsed="false" customWidth="true" hidden="false" outlineLevel="0" max="18" min="18" style="1" width="10.14"/>
    <col collapsed="false" customWidth="true" hidden="false" outlineLevel="0" max="20" min="19" style="1" width="7.71"/>
    <col collapsed="false" customWidth="true" hidden="false" outlineLevel="0" max="21" min="21" style="1" width="4.86"/>
    <col collapsed="false" customWidth="true" hidden="false" outlineLevel="0" max="22" min="22" style="1" width="7.29"/>
    <col collapsed="false" customWidth="true" hidden="false" outlineLevel="0" max="25" min="23" style="1" width="10.71"/>
  </cols>
  <sheetData>
    <row r="2" customFormat="false" ht="13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s">
        <v>1</v>
      </c>
      <c r="P2" s="3"/>
      <c r="Q2" s="3"/>
      <c r="R2" s="3"/>
      <c r="S2" s="3"/>
      <c r="T2" s="3"/>
      <c r="U2" s="3"/>
      <c r="V2" s="3"/>
      <c r="W2" s="4"/>
      <c r="X2" s="4"/>
      <c r="Y2" s="4"/>
    </row>
    <row r="3" customFormat="false" ht="49.5" hidden="false" customHeight="true" outlineLevel="0" collapsed="false">
      <c r="A3" s="5" t="s">
        <v>2</v>
      </c>
      <c r="B3" s="6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8" t="s">
        <v>11</v>
      </c>
      <c r="K3" s="8" t="s">
        <v>12</v>
      </c>
      <c r="L3" s="8" t="s">
        <v>13</v>
      </c>
      <c r="M3" s="7" t="s">
        <v>14</v>
      </c>
      <c r="N3" s="9" t="s">
        <v>15</v>
      </c>
      <c r="O3" s="10" t="s">
        <v>16</v>
      </c>
      <c r="P3" s="11" t="s">
        <v>5</v>
      </c>
      <c r="Q3" s="11" t="s">
        <v>17</v>
      </c>
      <c r="R3" s="11" t="s">
        <v>18</v>
      </c>
      <c r="S3" s="11" t="s">
        <v>19</v>
      </c>
      <c r="T3" s="11" t="s">
        <v>20</v>
      </c>
      <c r="U3" s="11" t="s">
        <v>21</v>
      </c>
      <c r="V3" s="12" t="s">
        <v>22</v>
      </c>
      <c r="W3" s="13"/>
      <c r="X3" s="13"/>
      <c r="Y3" s="13"/>
    </row>
    <row r="4" customFormat="false" ht="27" hidden="false" customHeight="true" outlineLevel="0" collapsed="false">
      <c r="A4" s="14" t="n">
        <v>1</v>
      </c>
      <c r="B4" s="15" t="s">
        <v>23</v>
      </c>
      <c r="C4" s="16" t="s">
        <v>24</v>
      </c>
      <c r="D4" s="17" t="n">
        <v>0</v>
      </c>
      <c r="E4" s="17" t="n">
        <v>30</v>
      </c>
      <c r="F4" s="18" t="s">
        <v>25</v>
      </c>
      <c r="G4" s="19" t="n">
        <v>520000</v>
      </c>
      <c r="H4" s="20" t="n">
        <v>0</v>
      </c>
      <c r="I4" s="20" t="n">
        <v>613</v>
      </c>
      <c r="J4" s="21" t="n">
        <v>350</v>
      </c>
      <c r="K4" s="20" t="n">
        <v>0</v>
      </c>
      <c r="L4" s="20" t="n">
        <v>288</v>
      </c>
      <c r="M4" s="20" t="n">
        <f aca="false">J4+(K4/2)+(L4/3)</f>
        <v>446</v>
      </c>
      <c r="N4" s="22" t="n">
        <f aca="false">(G4-(H4*H5))/M4</f>
        <v>1165.91928251121</v>
      </c>
      <c r="O4" s="23" t="n">
        <v>1</v>
      </c>
      <c r="P4" s="24" t="n">
        <v>1</v>
      </c>
      <c r="Q4" s="25" t="n">
        <v>1</v>
      </c>
      <c r="R4" s="25" t="n">
        <v>1</v>
      </c>
      <c r="S4" s="25" t="n">
        <v>1</v>
      </c>
      <c r="T4" s="26" t="n">
        <v>1</v>
      </c>
      <c r="U4" s="27" t="n">
        <f aca="false">(O4+((P4+P5)/2)+Q4+R4+S4+T4)/6</f>
        <v>1</v>
      </c>
      <c r="V4" s="28" t="n">
        <f aca="false">ROUND(N4/U4,2)</f>
        <v>1165.92</v>
      </c>
      <c r="W4" s="29"/>
      <c r="X4" s="30"/>
      <c r="Y4" s="29"/>
    </row>
    <row r="5" customFormat="false" ht="27.75" hidden="false" customHeight="true" outlineLevel="0" collapsed="false">
      <c r="A5" s="14"/>
      <c r="B5" s="15"/>
      <c r="C5" s="15"/>
      <c r="D5" s="15"/>
      <c r="E5" s="15"/>
      <c r="F5" s="15"/>
      <c r="G5" s="15"/>
      <c r="H5" s="31" t="n">
        <v>0</v>
      </c>
      <c r="I5" s="20"/>
      <c r="J5" s="20"/>
      <c r="K5" s="20"/>
      <c r="L5" s="20"/>
      <c r="M5" s="20"/>
      <c r="N5" s="22"/>
      <c r="O5" s="23"/>
      <c r="P5" s="25" t="n">
        <v>1</v>
      </c>
      <c r="Q5" s="25"/>
      <c r="R5" s="25"/>
      <c r="S5" s="25"/>
      <c r="T5" s="26"/>
      <c r="U5" s="27"/>
      <c r="V5" s="28"/>
      <c r="W5" s="29"/>
      <c r="X5" s="29"/>
      <c r="Y5" s="29"/>
    </row>
    <row r="6" customFormat="false" ht="27.75" hidden="false" customHeight="true" outlineLevel="0" collapsed="false">
      <c r="A6" s="32" t="n">
        <v>2</v>
      </c>
      <c r="B6" s="33" t="s">
        <v>26</v>
      </c>
      <c r="C6" s="34" t="s">
        <v>24</v>
      </c>
      <c r="D6" s="35" t="n">
        <v>0</v>
      </c>
      <c r="E6" s="35" t="n">
        <v>40</v>
      </c>
      <c r="F6" s="36" t="s">
        <v>27</v>
      </c>
      <c r="G6" s="31" t="n">
        <v>325000</v>
      </c>
      <c r="H6" s="37" t="n">
        <v>0</v>
      </c>
      <c r="I6" s="37" t="n">
        <v>536</v>
      </c>
      <c r="J6" s="38" t="n">
        <v>305</v>
      </c>
      <c r="K6" s="37" t="n">
        <v>0</v>
      </c>
      <c r="L6" s="37" t="n">
        <v>231</v>
      </c>
      <c r="M6" s="37" t="n">
        <f aca="false">J6+(K6/2)+(L6/3)</f>
        <v>382</v>
      </c>
      <c r="N6" s="39" t="n">
        <f aca="false">(G6-(H6*H7))/M6</f>
        <v>850.785340314136</v>
      </c>
      <c r="O6" s="40" t="n">
        <v>1</v>
      </c>
      <c r="P6" s="41" t="n">
        <v>1</v>
      </c>
      <c r="Q6" s="42" t="n">
        <v>1</v>
      </c>
      <c r="R6" s="42" t="n">
        <v>1</v>
      </c>
      <c r="S6" s="42" t="n">
        <v>1</v>
      </c>
      <c r="T6" s="43" t="n">
        <v>1</v>
      </c>
      <c r="U6" s="44" t="n">
        <f aca="false">(O6+((P6+P7)/2)+Q6+R6+S6+T6)/6</f>
        <v>1</v>
      </c>
      <c r="V6" s="45" t="n">
        <f aca="false">ROUND(N6/U6,2)</f>
        <v>850.79</v>
      </c>
      <c r="W6" s="29"/>
      <c r="X6" s="29"/>
      <c r="Y6" s="29"/>
    </row>
    <row r="7" customFormat="false" ht="27.75" hidden="false" customHeight="true" outlineLevel="0" collapsed="false">
      <c r="A7" s="32"/>
      <c r="B7" s="33"/>
      <c r="C7" s="33"/>
      <c r="D7" s="33"/>
      <c r="E7" s="33"/>
      <c r="F7" s="33"/>
      <c r="G7" s="33"/>
      <c r="H7" s="31" t="n">
        <v>0</v>
      </c>
      <c r="I7" s="37"/>
      <c r="J7" s="37"/>
      <c r="K7" s="37"/>
      <c r="L7" s="37"/>
      <c r="M7" s="37"/>
      <c r="N7" s="39"/>
      <c r="O7" s="40"/>
      <c r="P7" s="25" t="n">
        <v>1</v>
      </c>
      <c r="Q7" s="42"/>
      <c r="R7" s="42"/>
      <c r="S7" s="42"/>
      <c r="T7" s="43"/>
      <c r="U7" s="44"/>
      <c r="V7" s="45"/>
      <c r="W7" s="29"/>
      <c r="X7" s="29"/>
      <c r="Y7" s="29"/>
    </row>
    <row r="8" customFormat="false" ht="27.75" hidden="false" customHeight="true" outlineLevel="0" collapsed="false">
      <c r="A8" s="46" t="n">
        <v>3</v>
      </c>
      <c r="B8" s="47" t="s">
        <v>28</v>
      </c>
      <c r="C8" s="48" t="s">
        <v>24</v>
      </c>
      <c r="D8" s="49" t="n">
        <v>0</v>
      </c>
      <c r="E8" s="49" t="n">
        <v>28</v>
      </c>
      <c r="F8" s="50" t="s">
        <v>27</v>
      </c>
      <c r="G8" s="51" t="n">
        <v>250000</v>
      </c>
      <c r="H8" s="37" t="n">
        <v>0</v>
      </c>
      <c r="I8" s="52" t="n">
        <v>644</v>
      </c>
      <c r="J8" s="53" t="n">
        <v>260</v>
      </c>
      <c r="K8" s="52" t="n">
        <v>0</v>
      </c>
      <c r="L8" s="52" t="n">
        <v>384</v>
      </c>
      <c r="M8" s="52" t="n">
        <f aca="false">J8+(K8/2)+(L8/3)</f>
        <v>388</v>
      </c>
      <c r="N8" s="54" t="n">
        <f aca="false">(G8-(H8*H9))/M8</f>
        <v>644.329896907217</v>
      </c>
      <c r="O8" s="23" t="n">
        <v>1</v>
      </c>
      <c r="P8" s="24" t="n">
        <v>1</v>
      </c>
      <c r="Q8" s="25" t="n">
        <v>1</v>
      </c>
      <c r="R8" s="25" t="n">
        <v>1</v>
      </c>
      <c r="S8" s="26" t="n">
        <v>1</v>
      </c>
      <c r="T8" s="55" t="n">
        <v>1</v>
      </c>
      <c r="U8" s="44" t="n">
        <v>1</v>
      </c>
      <c r="V8" s="56" t="n">
        <f aca="false">ROUND(N8/U8,2)</f>
        <v>644.33</v>
      </c>
      <c r="W8" s="29"/>
      <c r="X8" s="29"/>
      <c r="Y8" s="29"/>
    </row>
    <row r="9" customFormat="false" ht="27.75" hidden="false" customHeight="true" outlineLevel="0" collapsed="false">
      <c r="A9" s="46"/>
      <c r="B9" s="47"/>
      <c r="C9" s="47"/>
      <c r="D9" s="47"/>
      <c r="E9" s="47"/>
      <c r="F9" s="47"/>
      <c r="G9" s="47"/>
      <c r="H9" s="51" t="n">
        <v>0</v>
      </c>
      <c r="I9" s="52"/>
      <c r="J9" s="52"/>
      <c r="K9" s="52"/>
      <c r="L9" s="52"/>
      <c r="M9" s="52"/>
      <c r="N9" s="54"/>
      <c r="O9" s="23"/>
      <c r="P9" s="57" t="n">
        <v>1</v>
      </c>
      <c r="Q9" s="25"/>
      <c r="R9" s="25"/>
      <c r="S9" s="26"/>
      <c r="T9" s="55"/>
      <c r="U9" s="44"/>
      <c r="V9" s="56"/>
      <c r="W9" s="29"/>
      <c r="X9" s="29"/>
      <c r="Y9" s="29"/>
    </row>
    <row r="10" customFormat="false" ht="27.75" hidden="false" customHeight="true" outlineLevel="0" collapsed="false">
      <c r="A10" s="58" t="n">
        <v>4</v>
      </c>
      <c r="B10" s="58" t="s">
        <v>29</v>
      </c>
      <c r="C10" s="58" t="s">
        <v>24</v>
      </c>
      <c r="D10" s="58" t="n">
        <v>0</v>
      </c>
      <c r="E10" s="58" t="n">
        <v>50</v>
      </c>
      <c r="F10" s="58" t="s">
        <v>30</v>
      </c>
      <c r="G10" s="58" t="n">
        <v>55000</v>
      </c>
      <c r="H10" s="58" t="n">
        <v>0</v>
      </c>
      <c r="I10" s="58" t="n">
        <v>37</v>
      </c>
      <c r="J10" s="58" t="n">
        <v>37</v>
      </c>
      <c r="K10" s="58" t="n">
        <v>0</v>
      </c>
      <c r="L10" s="58" t="n">
        <v>0</v>
      </c>
      <c r="M10" s="58" t="n">
        <f aca="false">J10+(K10/2)+(L10/3)</f>
        <v>37</v>
      </c>
      <c r="N10" s="58" t="n">
        <f aca="false">(G10-(H10*H11))/M10</f>
        <v>1486.48648648649</v>
      </c>
      <c r="O10" s="59" t="n">
        <v>1</v>
      </c>
      <c r="P10" s="59" t="n">
        <v>1</v>
      </c>
      <c r="Q10" s="59" t="n">
        <v>1.05</v>
      </c>
      <c r="R10" s="59" t="n">
        <v>1.05</v>
      </c>
      <c r="S10" s="59" t="n">
        <v>1</v>
      </c>
      <c r="T10" s="59" t="n">
        <v>1.75</v>
      </c>
      <c r="U10" s="59" t="n">
        <f aca="false">(O10+((P10+P11)/2)+Q10+R10+S10+T10)/6</f>
        <v>1.14166666666667</v>
      </c>
      <c r="V10" s="59" t="n">
        <f aca="false">ROUND(N10/U10,2)</f>
        <v>1302.03</v>
      </c>
    </row>
    <row r="11" customFormat="false" ht="27.75" hidden="false" customHeight="true" outlineLevel="0" collapsed="false">
      <c r="A11" s="60"/>
      <c r="B11" s="60"/>
      <c r="C11" s="61"/>
      <c r="D11" s="61"/>
      <c r="E11" s="61"/>
      <c r="F11" s="61"/>
      <c r="G11" s="61"/>
      <c r="H11" s="31" t="n">
        <v>0</v>
      </c>
      <c r="I11" s="61"/>
      <c r="J11" s="61"/>
      <c r="K11" s="61"/>
      <c r="L11" s="61"/>
      <c r="M11" s="61"/>
      <c r="N11" s="62"/>
      <c r="O11" s="63"/>
      <c r="P11" s="25" t="n">
        <v>1</v>
      </c>
      <c r="Q11" s="64"/>
      <c r="R11" s="64"/>
      <c r="S11" s="64"/>
      <c r="T11" s="65"/>
      <c r="U11" s="66"/>
      <c r="V11" s="67"/>
    </row>
    <row r="12" customFormat="false" ht="13.5" hidden="false" customHeight="true" outlineLevel="0" collapsed="false">
      <c r="A12" s="60" t="n">
        <v>5</v>
      </c>
      <c r="B12" s="60" t="s">
        <v>31</v>
      </c>
      <c r="C12" s="61" t="s">
        <v>24</v>
      </c>
      <c r="D12" s="61" t="n">
        <v>0</v>
      </c>
      <c r="E12" s="61" t="n">
        <v>50</v>
      </c>
      <c r="F12" s="61" t="s">
        <v>32</v>
      </c>
      <c r="G12" s="61" t="n">
        <v>64900</v>
      </c>
      <c r="H12" s="37" t="n">
        <v>0</v>
      </c>
      <c r="I12" s="61" t="n">
        <v>35</v>
      </c>
      <c r="J12" s="61" t="n">
        <v>35</v>
      </c>
      <c r="K12" s="61" t="n">
        <v>0</v>
      </c>
      <c r="L12" s="61" t="n">
        <v>0</v>
      </c>
      <c r="M12" s="61" t="n">
        <f aca="false">J12+(K12/2)+(L12/3)</f>
        <v>35</v>
      </c>
      <c r="N12" s="62" t="n">
        <f aca="false">(G12-(H12*H13))/M12</f>
        <v>1854.28571428571</v>
      </c>
      <c r="O12" s="63" t="n">
        <v>1</v>
      </c>
      <c r="P12" s="41" t="n">
        <v>1</v>
      </c>
      <c r="Q12" s="64" t="n">
        <v>1.05</v>
      </c>
      <c r="R12" s="64" t="n">
        <v>1</v>
      </c>
      <c r="S12" s="64" t="n">
        <v>1</v>
      </c>
      <c r="T12" s="65" t="n">
        <v>1.25</v>
      </c>
      <c r="U12" s="66" t="n">
        <f aca="false">(O12+((P12+P13)/2)+Q12+R12+S12+T12)/6</f>
        <v>1.05</v>
      </c>
      <c r="V12" s="67" t="n">
        <f aca="false">ROUND(N12/U12,2)</f>
        <v>1765.99</v>
      </c>
    </row>
    <row r="13" customFormat="false" ht="12.75" hidden="false" customHeight="true" outlineLevel="0" collapsed="false">
      <c r="A13" s="60"/>
      <c r="B13" s="61"/>
      <c r="C13" s="61"/>
      <c r="D13" s="61"/>
      <c r="E13" s="61"/>
      <c r="F13" s="61"/>
      <c r="G13" s="61"/>
      <c r="H13" s="31" t="n">
        <v>0</v>
      </c>
      <c r="I13" s="61"/>
      <c r="J13" s="61"/>
      <c r="K13" s="61"/>
      <c r="L13" s="61"/>
      <c r="M13" s="61"/>
      <c r="N13" s="62"/>
      <c r="O13" s="63"/>
      <c r="P13" s="25" t="n">
        <v>1</v>
      </c>
      <c r="Q13" s="64"/>
      <c r="R13" s="64"/>
      <c r="S13" s="64"/>
      <c r="T13" s="65"/>
      <c r="U13" s="66"/>
      <c r="V13" s="67"/>
    </row>
    <row r="14" customFormat="false" ht="12.75" hidden="false" customHeight="true" outlineLevel="0" collapsed="false">
      <c r="A14" s="68" t="s">
        <v>33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70"/>
      <c r="O14" s="71" t="s">
        <v>34</v>
      </c>
      <c r="V14" s="72"/>
      <c r="W14" s="73"/>
      <c r="X14" s="73"/>
      <c r="Y14" s="73"/>
    </row>
    <row r="15" customFormat="false" ht="12.75" hidden="false" customHeight="true" outlineLevel="0" collapsed="false">
      <c r="A15" s="74" t="s">
        <v>35</v>
      </c>
      <c r="B15" s="75"/>
      <c r="C15" s="76" t="s">
        <v>36</v>
      </c>
      <c r="D15" s="77" t="n">
        <v>0</v>
      </c>
      <c r="E15" s="77" t="s">
        <v>37</v>
      </c>
      <c r="F15" s="78" t="s">
        <v>38</v>
      </c>
      <c r="G15" s="79" t="n">
        <f aca="false">(ROUND(M11*N11,2)+(H11*H12))</f>
        <v>0</v>
      </c>
      <c r="H15" s="80" t="n">
        <v>0</v>
      </c>
      <c r="I15" s="81" t="n">
        <v>740</v>
      </c>
      <c r="J15" s="81" t="n">
        <v>311</v>
      </c>
      <c r="K15" s="81" t="n">
        <v>0</v>
      </c>
      <c r="L15" s="81" t="n">
        <v>429</v>
      </c>
      <c r="M15" s="81" t="n">
        <f aca="false">J11+(K11/2)+(L11/3)</f>
        <v>0</v>
      </c>
      <c r="N15" s="82" t="n">
        <f aca="false">U11*V11</f>
        <v>0</v>
      </c>
      <c r="O15" s="83" t="n">
        <v>1.1</v>
      </c>
      <c r="P15" s="84" t="n">
        <v>1</v>
      </c>
      <c r="Q15" s="85" t="n">
        <v>1</v>
      </c>
      <c r="R15" s="85" t="n">
        <v>1</v>
      </c>
      <c r="S15" s="85" t="n">
        <v>1</v>
      </c>
      <c r="T15" s="86" t="n">
        <v>1</v>
      </c>
      <c r="U15" s="87" t="n">
        <v>1</v>
      </c>
      <c r="V15" s="88" t="n">
        <f aca="false">ROUND(AVERAGE(V4:V9),2)</f>
        <v>887.01</v>
      </c>
      <c r="W15" s="29"/>
      <c r="X15" s="29"/>
      <c r="Y15" s="29"/>
    </row>
    <row r="16" customFormat="false" ht="12.75" hidden="false" customHeight="true" outlineLevel="0" collapsed="false">
      <c r="A16" s="66"/>
      <c r="B16" s="63"/>
      <c r="C16" s="64"/>
      <c r="D16" s="64"/>
      <c r="E16" s="64"/>
      <c r="F16" s="64"/>
      <c r="G16" s="64"/>
      <c r="H16" s="89" t="n">
        <v>0</v>
      </c>
      <c r="I16" s="64"/>
      <c r="J16" s="64"/>
      <c r="K16" s="64"/>
      <c r="L16" s="64"/>
      <c r="M16" s="64"/>
      <c r="N16" s="65"/>
      <c r="O16" s="90"/>
      <c r="P16" s="91" t="n">
        <v>1</v>
      </c>
      <c r="Q16" s="64"/>
      <c r="R16" s="64"/>
      <c r="S16" s="64"/>
      <c r="T16" s="65"/>
      <c r="U16" s="66"/>
      <c r="V16" s="67"/>
    </row>
    <row r="17" customFormat="false" ht="15" hidden="true" customHeight="true" outlineLevel="0" collapsed="false">
      <c r="A17" s="92"/>
      <c r="B17" s="92"/>
      <c r="C17" s="92"/>
      <c r="D17" s="93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</row>
    <row r="18" customFormat="false" ht="12.75" hidden="false" customHeight="true" outlineLevel="0" collapsed="false">
      <c r="A18" s="92"/>
      <c r="B18" s="92"/>
      <c r="C18" s="92"/>
      <c r="D18" s="93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</row>
    <row r="19" customFormat="false" ht="12.75" hidden="false" customHeight="true" outlineLevel="0" collapsed="false">
      <c r="A19" s="92"/>
      <c r="B19" s="92"/>
      <c r="C19" s="92"/>
      <c r="D19" s="93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</row>
    <row r="20" customFormat="false" ht="12.75" hidden="false" customHeight="true" outlineLevel="0" collapsed="false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</row>
    <row r="21" customFormat="false" ht="15.75" hidden="false" customHeight="true" outlineLevel="0" collapsed="false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</row>
    <row r="22" customFormat="false" ht="15.75" hidden="false" customHeight="true" outlineLevel="0" collapsed="false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4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</row>
    <row r="23" customFormat="false" ht="15.75" hidden="false" customHeight="true" outlineLevel="0" collapsed="false">
      <c r="A23" s="95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</row>
    <row r="24" customFormat="false" ht="15.75" hidden="false" customHeight="true" outlineLevel="0" collapsed="false">
      <c r="A24" s="95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</row>
    <row r="25" customFormat="false" ht="15.75" hidden="false" customHeight="true" outlineLevel="0" collapsed="false">
      <c r="A25" s="95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</row>
    <row r="26" customFormat="false" ht="15.75" hidden="false" customHeight="true" outlineLevel="0" collapsed="false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</row>
    <row r="27" customFormat="false" ht="15.75" hidden="false" customHeight="true" outlineLevel="0" collapsed="false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</row>
    <row r="28" customFormat="false" ht="15.75" hidden="false" customHeight="true" outlineLevel="0" collapsed="false">
      <c r="A28" s="95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</row>
    <row r="29" customFormat="false" ht="15.75" hidden="false" customHeight="true" outlineLevel="0" collapsed="false">
      <c r="A29" s="95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</row>
    <row r="30" customFormat="false" ht="15.75" hidden="false" customHeight="true" outlineLevel="0" collapsed="false">
      <c r="A30" s="95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</row>
    <row r="31" customFormat="false" ht="15.75" hidden="false" customHeight="true" outlineLevel="0" collapsed="false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</row>
    <row r="32" customFormat="false" ht="15.75" hidden="false" customHeight="true" outlineLevel="0" collapsed="false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</row>
    <row r="33" customFormat="false" ht="15.75" hidden="false" customHeight="true" outlineLevel="0" collapsed="false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</row>
    <row r="34" customFormat="false" ht="15.75" hidden="false" customHeight="true" outlineLevel="0" collapsed="false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</row>
    <row r="35" customFormat="false" ht="15.75" hidden="false" customHeight="true" outlineLevel="0" collapsed="false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</row>
    <row r="36" customFormat="false" ht="15.75" hidden="false" customHeight="true" outlineLevel="0" collapsed="false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</row>
    <row r="37" customFormat="false" ht="15.75" hidden="false" customHeight="true" outlineLevel="0" collapsed="false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</row>
    <row r="38" customFormat="false" ht="15.75" hidden="false" customHeight="true" outlineLevel="0" collapsed="false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</row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>
      <c r="G49" s="96" t="n">
        <v>37</v>
      </c>
      <c r="H49" s="96" t="n">
        <v>30</v>
      </c>
      <c r="I49" s="96" t="n">
        <v>34.5</v>
      </c>
      <c r="J49" s="96" t="n">
        <v>115000</v>
      </c>
      <c r="K49" s="96" t="e">
        <f aca="false">J45/I45</f>
        <v>#DIV/0!</v>
      </c>
    </row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>
      <c r="I52" s="96" t="n">
        <v>34.5</v>
      </c>
      <c r="J52" s="96" t="n">
        <v>119000</v>
      </c>
      <c r="K52" s="96" t="e">
        <f aca="false">J48/I48</f>
        <v>#DIV/0!</v>
      </c>
      <c r="L52" s="96" t="n">
        <f aca="false">K48*0.97</f>
        <v>0</v>
      </c>
    </row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3">
    <mergeCell ref="A2:N2"/>
    <mergeCell ref="O2:V2"/>
    <mergeCell ref="A4:A5"/>
    <mergeCell ref="B4:B5"/>
    <mergeCell ref="C4:C5"/>
    <mergeCell ref="D4:D5"/>
    <mergeCell ref="E4:E5"/>
    <mergeCell ref="F4:F5"/>
    <mergeCell ref="G4:G5"/>
    <mergeCell ref="I4:I5"/>
    <mergeCell ref="J4:J5"/>
    <mergeCell ref="K4:K5"/>
    <mergeCell ref="L4:L5"/>
    <mergeCell ref="M4:M5"/>
    <mergeCell ref="N4:N5"/>
    <mergeCell ref="O4:O5"/>
    <mergeCell ref="Q4:Q5"/>
    <mergeCell ref="R4:R5"/>
    <mergeCell ref="S4:S5"/>
    <mergeCell ref="T4:T5"/>
    <mergeCell ref="U4:U5"/>
    <mergeCell ref="V4:V5"/>
    <mergeCell ref="A6:A7"/>
    <mergeCell ref="B6:B7"/>
    <mergeCell ref="C6:C7"/>
    <mergeCell ref="D6:D7"/>
    <mergeCell ref="E6:E7"/>
    <mergeCell ref="F6:F7"/>
    <mergeCell ref="G6:G7"/>
    <mergeCell ref="I6:I7"/>
    <mergeCell ref="J6:J7"/>
    <mergeCell ref="K6:K7"/>
    <mergeCell ref="L6:L7"/>
    <mergeCell ref="M6:M7"/>
    <mergeCell ref="N6:N7"/>
    <mergeCell ref="O6:O7"/>
    <mergeCell ref="Q6:Q7"/>
    <mergeCell ref="R6:R7"/>
    <mergeCell ref="S6:S7"/>
    <mergeCell ref="T6:T7"/>
    <mergeCell ref="U6:U7"/>
    <mergeCell ref="V6:V7"/>
    <mergeCell ref="A8:A9"/>
    <mergeCell ref="B8:B9"/>
    <mergeCell ref="C8:C9"/>
    <mergeCell ref="D8:D9"/>
    <mergeCell ref="E8:E9"/>
    <mergeCell ref="F8:F9"/>
    <mergeCell ref="G8:G9"/>
    <mergeCell ref="I8:I9"/>
    <mergeCell ref="J8:J9"/>
    <mergeCell ref="K8:K9"/>
    <mergeCell ref="L8:L9"/>
    <mergeCell ref="M8:M9"/>
    <mergeCell ref="N8:N9"/>
    <mergeCell ref="O8:O9"/>
    <mergeCell ref="Q8:Q9"/>
    <mergeCell ref="R8:R9"/>
    <mergeCell ref="S8:S9"/>
    <mergeCell ref="T8:T9"/>
    <mergeCell ref="U8:U9"/>
    <mergeCell ref="V8:V9"/>
    <mergeCell ref="A10:N10"/>
    <mergeCell ref="O10:V10"/>
    <mergeCell ref="A11:B12"/>
    <mergeCell ref="C11:C12"/>
    <mergeCell ref="D11:D12"/>
    <mergeCell ref="E11:E12"/>
    <mergeCell ref="F11:F12"/>
    <mergeCell ref="G11:G12"/>
    <mergeCell ref="I11:I12"/>
    <mergeCell ref="J11:J12"/>
    <mergeCell ref="K11:K12"/>
    <mergeCell ref="L11:L12"/>
    <mergeCell ref="M11:M12"/>
    <mergeCell ref="N11:N12"/>
    <mergeCell ref="O11:O12"/>
    <mergeCell ref="Q11:Q12"/>
    <mergeCell ref="R11:R12"/>
    <mergeCell ref="S11:S12"/>
    <mergeCell ref="T11:T12"/>
    <mergeCell ref="U11:U12"/>
    <mergeCell ref="V11:V12"/>
  </mergeCells>
  <printOptions headings="false" gridLines="false" gridLinesSet="true" horizontalCentered="false" verticalCentered="false"/>
  <pageMargins left="1" right="1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31" colorId="64" zoomScale="137" zoomScaleNormal="137" zoomScalePageLayoutView="100" workbookViewId="0">
      <selection pane="topLeft" activeCell="E31" activeCellId="0" sqref="E3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26" min="1" style="1" width="10.71"/>
  </cols>
  <sheetData>
    <row r="1" customFormat="false" ht="12" hidden="false" customHeight="true" outlineLevel="0" collapsed="false">
      <c r="B1" s="97" t="s">
        <v>39</v>
      </c>
      <c r="C1" s="97"/>
      <c r="D1" s="97"/>
      <c r="E1" s="97"/>
      <c r="F1" s="97"/>
      <c r="G1" s="98"/>
    </row>
    <row r="2" customFormat="false" ht="12" hidden="false" customHeight="true" outlineLevel="0" collapsed="false">
      <c r="B2" s="99"/>
      <c r="E2" s="100"/>
      <c r="F2" s="99"/>
      <c r="G2" s="98"/>
    </row>
    <row r="3" customFormat="false" ht="12" hidden="false" customHeight="true" outlineLevel="0" collapsed="false">
      <c r="A3" s="101" t="s">
        <v>40</v>
      </c>
      <c r="B3" s="101"/>
      <c r="C3" s="101"/>
      <c r="D3" s="101"/>
      <c r="E3" s="101"/>
      <c r="F3" s="101"/>
      <c r="G3" s="101"/>
    </row>
    <row r="4" customFormat="false" ht="12" hidden="false" customHeight="true" outlineLevel="0" collapsed="false">
      <c r="A4" s="102" t="s">
        <v>41</v>
      </c>
      <c r="B4" s="102"/>
      <c r="C4" s="102"/>
      <c r="D4" s="102"/>
      <c r="E4" s="102"/>
      <c r="F4" s="102"/>
      <c r="G4" s="102"/>
    </row>
    <row r="5" customFormat="false" ht="12" hidden="false" customHeight="true" outlineLevel="0" collapsed="false">
      <c r="A5" s="103" t="s">
        <v>42</v>
      </c>
      <c r="B5" s="103"/>
      <c r="C5" s="103"/>
      <c r="D5" s="103"/>
      <c r="E5" s="104" t="n">
        <v>1</v>
      </c>
      <c r="F5" s="104"/>
      <c r="G5" s="105" t="n">
        <v>1</v>
      </c>
    </row>
    <row r="6" customFormat="false" ht="12" hidden="false" customHeight="true" outlineLevel="0" collapsed="false">
      <c r="A6" s="106" t="s">
        <v>43</v>
      </c>
      <c r="B6" s="106"/>
      <c r="C6" s="106"/>
      <c r="D6" s="106"/>
      <c r="E6" s="107" t="n">
        <v>0.5</v>
      </c>
      <c r="F6" s="107"/>
      <c r="G6" s="108" t="n">
        <v>0.5</v>
      </c>
    </row>
    <row r="7" customFormat="false" ht="12" hidden="false" customHeight="true" outlineLevel="0" collapsed="false">
      <c r="A7" s="106" t="s">
        <v>44</v>
      </c>
      <c r="B7" s="106"/>
      <c r="C7" s="106"/>
      <c r="D7" s="106"/>
      <c r="E7" s="107" t="n">
        <v>0.5</v>
      </c>
      <c r="F7" s="107"/>
      <c r="G7" s="108" t="n">
        <v>0.5</v>
      </c>
    </row>
    <row r="8" customFormat="false" ht="12" hidden="false" customHeight="true" outlineLevel="0" collapsed="false">
      <c r="A8" s="109" t="s">
        <v>45</v>
      </c>
      <c r="B8" s="109"/>
      <c r="C8" s="109"/>
      <c r="D8" s="109"/>
      <c r="E8" s="110" t="n">
        <v>0.33</v>
      </c>
      <c r="F8" s="110"/>
      <c r="G8" s="111" t="n">
        <v>0.33</v>
      </c>
    </row>
    <row r="9" customFormat="false" ht="12" hidden="false" customHeight="true" outlineLevel="0" collapsed="false">
      <c r="A9" s="112" t="s">
        <v>46</v>
      </c>
      <c r="B9" s="113"/>
      <c r="C9" s="113"/>
      <c r="D9" s="113"/>
      <c r="E9" s="114" t="s">
        <v>47</v>
      </c>
      <c r="F9" s="114"/>
      <c r="G9" s="115" t="s">
        <v>48</v>
      </c>
    </row>
    <row r="10" customFormat="false" ht="12" hidden="false" customHeight="true" outlineLevel="0" collapsed="false">
      <c r="A10" s="116" t="s">
        <v>49</v>
      </c>
      <c r="B10" s="116"/>
      <c r="C10" s="116"/>
      <c r="D10" s="116"/>
      <c r="E10" s="117" t="n">
        <v>0.9</v>
      </c>
      <c r="F10" s="117"/>
      <c r="G10" s="105" t="n">
        <v>1</v>
      </c>
    </row>
    <row r="11" customFormat="false" ht="12" hidden="false" customHeight="true" outlineLevel="0" collapsed="false">
      <c r="A11" s="118" t="s">
        <v>50</v>
      </c>
      <c r="B11" s="118"/>
      <c r="C11" s="118"/>
      <c r="D11" s="118"/>
      <c r="E11" s="119" t="n">
        <v>1</v>
      </c>
      <c r="F11" s="119"/>
      <c r="G11" s="108" t="n">
        <v>1</v>
      </c>
    </row>
    <row r="12" customFormat="false" ht="12" hidden="false" customHeight="true" outlineLevel="0" collapsed="false">
      <c r="A12" s="118" t="s">
        <v>51</v>
      </c>
      <c r="B12" s="118"/>
      <c r="C12" s="118"/>
      <c r="D12" s="118"/>
      <c r="E12" s="119" t="n">
        <v>0.9</v>
      </c>
      <c r="F12" s="119"/>
      <c r="G12" s="108" t="n">
        <v>0.95</v>
      </c>
    </row>
    <row r="13" customFormat="false" ht="12" hidden="false" customHeight="true" outlineLevel="0" collapsed="false">
      <c r="A13" s="118" t="s">
        <v>52</v>
      </c>
      <c r="B13" s="118"/>
      <c r="C13" s="118"/>
      <c r="D13" s="118"/>
      <c r="E13" s="119" t="n">
        <v>0.95</v>
      </c>
      <c r="F13" s="119"/>
      <c r="G13" s="108" t="n">
        <v>0.9</v>
      </c>
    </row>
    <row r="14" customFormat="false" ht="12" hidden="false" customHeight="true" outlineLevel="0" collapsed="false">
      <c r="A14" s="118" t="s">
        <v>53</v>
      </c>
      <c r="B14" s="118"/>
      <c r="C14" s="118"/>
      <c r="D14" s="118"/>
      <c r="E14" s="119" t="n">
        <v>1</v>
      </c>
      <c r="F14" s="119"/>
      <c r="G14" s="108" t="n">
        <v>0.8</v>
      </c>
    </row>
    <row r="15" customFormat="false" ht="12" hidden="false" customHeight="true" outlineLevel="0" collapsed="false">
      <c r="A15" s="118" t="s">
        <v>54</v>
      </c>
      <c r="B15" s="118"/>
      <c r="C15" s="118"/>
      <c r="D15" s="118"/>
      <c r="E15" s="119" t="n">
        <v>1.05</v>
      </c>
      <c r="F15" s="119"/>
      <c r="G15" s="108"/>
    </row>
    <row r="16" customFormat="false" ht="12" hidden="false" customHeight="true" outlineLevel="0" collapsed="false">
      <c r="A16" s="118" t="s">
        <v>55</v>
      </c>
      <c r="B16" s="118"/>
      <c r="C16" s="118"/>
      <c r="D16" s="118"/>
      <c r="E16" s="119" t="n">
        <v>1.1</v>
      </c>
      <c r="F16" s="119"/>
      <c r="G16" s="108"/>
    </row>
    <row r="17" customFormat="false" ht="12" hidden="false" customHeight="true" outlineLevel="0" collapsed="false">
      <c r="A17" s="118" t="s">
        <v>56</v>
      </c>
      <c r="B17" s="118"/>
      <c r="C17" s="118"/>
      <c r="D17" s="118"/>
      <c r="E17" s="119" t="n">
        <v>1.15</v>
      </c>
      <c r="F17" s="119"/>
      <c r="G17" s="108"/>
    </row>
    <row r="18" customFormat="false" ht="12" hidden="false" customHeight="true" outlineLevel="0" collapsed="false">
      <c r="A18" s="120" t="s">
        <v>57</v>
      </c>
      <c r="B18" s="120"/>
      <c r="C18" s="120"/>
      <c r="D18" s="120"/>
      <c r="E18" s="121" t="n">
        <v>0.9</v>
      </c>
      <c r="F18" s="121"/>
      <c r="G18" s="122"/>
    </row>
    <row r="19" customFormat="false" ht="12" hidden="false" customHeight="true" outlineLevel="0" collapsed="false">
      <c r="A19" s="123" t="s">
        <v>58</v>
      </c>
      <c r="B19" s="123"/>
      <c r="C19" s="123"/>
      <c r="D19" s="123"/>
      <c r="E19" s="123"/>
      <c r="F19" s="123"/>
      <c r="G19" s="123"/>
    </row>
    <row r="20" customFormat="false" ht="12" hidden="false" customHeight="true" outlineLevel="0" collapsed="false">
      <c r="A20" s="124" t="s">
        <v>59</v>
      </c>
      <c r="B20" s="124"/>
      <c r="C20" s="124"/>
      <c r="D20" s="124"/>
      <c r="E20" s="108" t="n">
        <v>1</v>
      </c>
      <c r="F20" s="108"/>
      <c r="G20" s="108"/>
    </row>
    <row r="21" customFormat="false" ht="12" hidden="false" customHeight="true" outlineLevel="0" collapsed="false">
      <c r="A21" s="124" t="s">
        <v>60</v>
      </c>
      <c r="B21" s="124"/>
      <c r="C21" s="124"/>
      <c r="D21" s="124"/>
      <c r="E21" s="108" t="n">
        <v>0.95</v>
      </c>
      <c r="F21" s="108"/>
      <c r="G21" s="108"/>
    </row>
    <row r="22" customFormat="false" ht="12" hidden="false" customHeight="true" outlineLevel="0" collapsed="false">
      <c r="A22" s="124" t="s">
        <v>61</v>
      </c>
      <c r="B22" s="124"/>
      <c r="C22" s="124"/>
      <c r="D22" s="124"/>
      <c r="E22" s="108" t="n">
        <v>0.9</v>
      </c>
      <c r="F22" s="108"/>
      <c r="G22" s="108"/>
    </row>
    <row r="23" customFormat="false" ht="12" hidden="false" customHeight="true" outlineLevel="0" collapsed="false">
      <c r="A23" s="124" t="s">
        <v>62</v>
      </c>
      <c r="B23" s="124"/>
      <c r="C23" s="124"/>
      <c r="D23" s="124"/>
      <c r="E23" s="108" t="n">
        <v>0.85</v>
      </c>
      <c r="F23" s="108"/>
      <c r="G23" s="108"/>
    </row>
    <row r="24" customFormat="false" ht="12" hidden="false" customHeight="true" outlineLevel="0" collapsed="false">
      <c r="A24" s="123" t="s">
        <v>63</v>
      </c>
      <c r="B24" s="123"/>
      <c r="C24" s="123"/>
      <c r="D24" s="123"/>
      <c r="E24" s="123"/>
      <c r="F24" s="123"/>
      <c r="G24" s="123"/>
    </row>
    <row r="25" customFormat="false" ht="12" hidden="false" customHeight="true" outlineLevel="0" collapsed="false">
      <c r="A25" s="125" t="s">
        <v>64</v>
      </c>
      <c r="B25" s="125"/>
      <c r="C25" s="126" t="s">
        <v>65</v>
      </c>
      <c r="D25" s="126"/>
      <c r="E25" s="108" t="n">
        <v>1.1</v>
      </c>
      <c r="F25" s="108"/>
      <c r="G25" s="108"/>
    </row>
    <row r="26" customFormat="false" ht="12" hidden="false" customHeight="true" outlineLevel="0" collapsed="false">
      <c r="A26" s="125"/>
      <c r="B26" s="125"/>
      <c r="C26" s="127" t="s">
        <v>66</v>
      </c>
      <c r="D26" s="127"/>
      <c r="E26" s="108" t="n">
        <v>1.05</v>
      </c>
      <c r="F26" s="108"/>
      <c r="G26" s="108"/>
    </row>
    <row r="27" customFormat="false" ht="12" hidden="false" customHeight="true" outlineLevel="0" collapsed="false">
      <c r="A27" s="125"/>
      <c r="B27" s="125"/>
      <c r="C27" s="127" t="s">
        <v>67</v>
      </c>
      <c r="D27" s="127"/>
      <c r="E27" s="108" t="n">
        <v>1</v>
      </c>
      <c r="F27" s="108"/>
      <c r="G27" s="108"/>
    </row>
    <row r="28" customFormat="false" ht="12" hidden="false" customHeight="true" outlineLevel="0" collapsed="false">
      <c r="A28" s="125"/>
      <c r="B28" s="125"/>
      <c r="C28" s="127" t="s">
        <v>68</v>
      </c>
      <c r="D28" s="127"/>
      <c r="E28" s="108" t="n">
        <v>0.95</v>
      </c>
      <c r="F28" s="108"/>
      <c r="G28" s="108"/>
    </row>
    <row r="29" customFormat="false" ht="12" hidden="false" customHeight="true" outlineLevel="0" collapsed="false">
      <c r="A29" s="125"/>
      <c r="B29" s="125"/>
      <c r="C29" s="127" t="s">
        <v>69</v>
      </c>
      <c r="D29" s="127"/>
      <c r="E29" s="108" t="n">
        <v>0.9</v>
      </c>
      <c r="F29" s="108"/>
      <c r="G29" s="108"/>
    </row>
    <row r="30" customFormat="false" ht="12" hidden="false" customHeight="true" outlineLevel="0" collapsed="false">
      <c r="A30" s="128" t="s">
        <v>70</v>
      </c>
      <c r="B30" s="128"/>
      <c r="C30" s="128"/>
      <c r="D30" s="128"/>
      <c r="E30" s="128"/>
      <c r="F30" s="128"/>
      <c r="G30" s="128"/>
    </row>
    <row r="31" customFormat="false" ht="12" hidden="false" customHeight="true" outlineLevel="0" collapsed="false">
      <c r="A31" s="124" t="s">
        <v>71</v>
      </c>
      <c r="B31" s="124"/>
      <c r="C31" s="124"/>
      <c r="D31" s="124"/>
      <c r="E31" s="108" t="s">
        <v>72</v>
      </c>
      <c r="F31" s="108"/>
      <c r="G31" s="108"/>
    </row>
    <row r="32" customFormat="false" ht="12" hidden="false" customHeight="true" outlineLevel="0" collapsed="false">
      <c r="A32" s="124" t="s">
        <v>73</v>
      </c>
      <c r="B32" s="124"/>
      <c r="C32" s="124"/>
      <c r="D32" s="124"/>
      <c r="E32" s="108" t="n">
        <v>1</v>
      </c>
      <c r="F32" s="108"/>
      <c r="G32" s="108"/>
    </row>
    <row r="33" customFormat="false" ht="12" hidden="false" customHeight="true" outlineLevel="0" collapsed="false">
      <c r="A33" s="124" t="s">
        <v>74</v>
      </c>
      <c r="B33" s="124"/>
      <c r="C33" s="124"/>
      <c r="D33" s="124"/>
      <c r="E33" s="108" t="s">
        <v>75</v>
      </c>
      <c r="F33" s="108"/>
      <c r="G33" s="108"/>
    </row>
    <row r="34" customFormat="false" ht="12" hidden="false" customHeight="true" outlineLevel="0" collapsed="false">
      <c r="A34" s="124" t="s">
        <v>76</v>
      </c>
      <c r="B34" s="124"/>
      <c r="C34" s="124"/>
      <c r="D34" s="124"/>
      <c r="E34" s="108" t="s">
        <v>77</v>
      </c>
      <c r="F34" s="108"/>
      <c r="G34" s="108"/>
    </row>
    <row r="35" customFormat="false" ht="12" hidden="false" customHeight="true" outlineLevel="0" collapsed="false">
      <c r="A35" s="124" t="s">
        <v>78</v>
      </c>
      <c r="B35" s="124"/>
      <c r="C35" s="124"/>
      <c r="D35" s="124"/>
      <c r="E35" s="108" t="s">
        <v>79</v>
      </c>
      <c r="F35" s="108"/>
      <c r="G35" s="108"/>
    </row>
    <row r="36" customFormat="false" ht="12" hidden="false" customHeight="true" outlineLevel="0" collapsed="false">
      <c r="A36" s="123" t="s">
        <v>80</v>
      </c>
      <c r="B36" s="123"/>
      <c r="C36" s="123"/>
      <c r="D36" s="123"/>
      <c r="E36" s="123"/>
      <c r="F36" s="123"/>
      <c r="G36" s="123"/>
    </row>
    <row r="37" customFormat="false" ht="12" hidden="false" customHeight="true" outlineLevel="0" collapsed="false">
      <c r="A37" s="124" t="s">
        <v>81</v>
      </c>
      <c r="B37" s="124"/>
      <c r="C37" s="124"/>
      <c r="D37" s="124"/>
      <c r="E37" s="108" t="n">
        <v>0.8</v>
      </c>
      <c r="F37" s="108"/>
      <c r="G37" s="108"/>
    </row>
    <row r="38" customFormat="false" ht="12" hidden="false" customHeight="true" outlineLevel="0" collapsed="false">
      <c r="A38" s="124" t="s">
        <v>73</v>
      </c>
      <c r="B38" s="124"/>
      <c r="C38" s="124"/>
      <c r="D38" s="124"/>
      <c r="E38" s="108" t="n">
        <v>1</v>
      </c>
      <c r="F38" s="108"/>
      <c r="G38" s="108"/>
    </row>
    <row r="39" customFormat="false" ht="12" hidden="false" customHeight="true" outlineLevel="0" collapsed="false">
      <c r="A39" s="124" t="s">
        <v>82</v>
      </c>
      <c r="B39" s="124"/>
      <c r="C39" s="124"/>
      <c r="D39" s="124"/>
      <c r="E39" s="108" t="n">
        <v>1.1</v>
      </c>
      <c r="F39" s="108"/>
      <c r="G39" s="108"/>
    </row>
    <row r="40" customFormat="false" ht="12" hidden="false" customHeight="true" outlineLevel="0" collapsed="false">
      <c r="A40" s="124" t="s">
        <v>83</v>
      </c>
      <c r="B40" s="124"/>
      <c r="C40" s="124"/>
      <c r="D40" s="124"/>
      <c r="E40" s="108" t="n">
        <v>1.2</v>
      </c>
      <c r="F40" s="108"/>
      <c r="G40" s="108"/>
    </row>
    <row r="41" customFormat="false" ht="12" hidden="false" customHeight="true" outlineLevel="0" collapsed="false">
      <c r="A41" s="123" t="s">
        <v>84</v>
      </c>
      <c r="B41" s="123"/>
      <c r="C41" s="123"/>
      <c r="D41" s="123"/>
      <c r="E41" s="123"/>
      <c r="F41" s="123"/>
      <c r="G41" s="123"/>
    </row>
    <row r="42" customFormat="false" ht="12" hidden="false" customHeight="true" outlineLevel="0" collapsed="false">
      <c r="A42" s="129" t="s">
        <v>85</v>
      </c>
      <c r="B42" s="129"/>
      <c r="C42" s="129"/>
      <c r="D42" s="129"/>
      <c r="E42" s="130" t="s">
        <v>86</v>
      </c>
      <c r="F42" s="130"/>
      <c r="G42" s="130"/>
    </row>
    <row r="43" customFormat="false" ht="12" hidden="false" customHeight="true" outlineLevel="0" collapsed="false">
      <c r="A43" s="131" t="n">
        <v>150</v>
      </c>
      <c r="B43" s="131"/>
      <c r="C43" s="131"/>
      <c r="D43" s="131"/>
      <c r="E43" s="132" t="n">
        <f aca="false">((A43/50)*0.25)+1</f>
        <v>1.75</v>
      </c>
      <c r="F43" s="132"/>
      <c r="G43" s="132"/>
    </row>
    <row r="44" customFormat="false" ht="12" hidden="false" customHeight="true" outlineLevel="0" collapsed="false">
      <c r="A44" s="131"/>
      <c r="B44" s="131"/>
      <c r="C44" s="131"/>
      <c r="D44" s="131"/>
      <c r="E44" s="132"/>
      <c r="F44" s="132"/>
      <c r="G44" s="132"/>
    </row>
    <row r="45" customFormat="false" ht="12" hidden="false" customHeight="true" outlineLevel="0" collapsed="false">
      <c r="A45" s="131"/>
      <c r="B45" s="131"/>
      <c r="C45" s="131"/>
      <c r="D45" s="131"/>
      <c r="E45" s="132"/>
      <c r="F45" s="132"/>
      <c r="G45" s="132"/>
    </row>
    <row r="46" customFormat="false" ht="12" hidden="false" customHeight="true" outlineLevel="0" collapsed="false">
      <c r="A46" s="131"/>
      <c r="B46" s="131"/>
      <c r="C46" s="131"/>
      <c r="D46" s="131"/>
      <c r="E46" s="132"/>
      <c r="F46" s="132"/>
      <c r="G46" s="132"/>
    </row>
    <row r="47" customFormat="false" ht="12" hidden="false" customHeight="true" outlineLevel="0" collapsed="false">
      <c r="A47" s="133" t="s">
        <v>87</v>
      </c>
      <c r="B47" s="133"/>
      <c r="C47" s="133"/>
      <c r="D47" s="133"/>
      <c r="E47" s="133"/>
      <c r="F47" s="133"/>
      <c r="G47" s="133"/>
    </row>
    <row r="48" customFormat="false" ht="12" hidden="false" customHeight="true" outlineLevel="0" collapsed="false"/>
    <row r="49" customFormat="false" ht="12" hidden="false" customHeight="true" outlineLevel="0" collapsed="false"/>
    <row r="50" customFormat="false" ht="12" hidden="false" customHeight="true" outlineLevel="0" collapsed="false"/>
    <row r="51" customFormat="false" ht="12" hidden="false" customHeight="true" outlineLevel="0" collapsed="false"/>
    <row r="52" customFormat="false" ht="12" hidden="false" customHeight="true" outlineLevel="0" collapsed="false"/>
    <row r="53" customFormat="false" ht="12" hidden="false" customHeight="true" outlineLevel="0" collapsed="false"/>
    <row r="54" customFormat="false" ht="12" hidden="false" customHeight="true" outlineLevel="0" collapsed="false"/>
    <row r="55" customFormat="false" ht="12" hidden="false" customHeight="true" outlineLevel="0" collapsed="false"/>
    <row r="56" customFormat="false" ht="12" hidden="false" customHeight="true" outlineLevel="0" collapsed="false"/>
    <row r="57" customFormat="false" ht="12" hidden="false" customHeight="true" outlineLevel="0" collapsed="false"/>
    <row r="58" customFormat="false" ht="12" hidden="false" customHeight="true" outlineLevel="0" collapsed="false"/>
    <row r="59" customFormat="false" ht="12" hidden="false" customHeight="true" outlineLevel="0" collapsed="false"/>
    <row r="60" customFormat="false" ht="12" hidden="false" customHeight="true" outlineLevel="0" collapsed="false"/>
    <row r="61" customFormat="false" ht="12" hidden="false" customHeight="true" outlineLevel="0" collapsed="false"/>
    <row r="62" customFormat="false" ht="12" hidden="false" customHeight="true" outlineLevel="0" collapsed="false"/>
    <row r="63" customFormat="false" ht="12" hidden="false" customHeight="true" outlineLevel="0" collapsed="false"/>
    <row r="64" customFormat="false" ht="12" hidden="false" customHeight="true" outlineLevel="0" collapsed="false"/>
    <row r="65" customFormat="false" ht="12" hidden="false" customHeight="true" outlineLevel="0" collapsed="false"/>
    <row r="66" customFormat="false" ht="12" hidden="false" customHeight="true" outlineLevel="0" collapsed="false"/>
    <row r="67" customFormat="false" ht="12" hidden="false" customHeight="true" outlineLevel="0" collapsed="false"/>
    <row r="68" customFormat="false" ht="12" hidden="false" customHeight="true" outlineLevel="0" collapsed="false"/>
    <row r="69" customFormat="false" ht="12" hidden="false" customHeight="true" outlineLevel="0" collapsed="false"/>
    <row r="70" customFormat="false" ht="12" hidden="false" customHeight="true" outlineLevel="0" collapsed="false"/>
    <row r="71" customFormat="false" ht="12" hidden="false" customHeight="true" outlineLevel="0" collapsed="false"/>
    <row r="72" customFormat="false" ht="12" hidden="false" customHeight="true" outlineLevel="0" collapsed="false"/>
    <row r="73" customFormat="false" ht="12" hidden="false" customHeight="true" outlineLevel="0" collapsed="false"/>
    <row r="74" customFormat="false" ht="12" hidden="false" customHeight="true" outlineLevel="0" collapsed="false"/>
    <row r="75" customFormat="false" ht="12" hidden="false" customHeight="true" outlineLevel="0" collapsed="false"/>
    <row r="76" customFormat="false" ht="12" hidden="false" customHeight="true" outlineLevel="0" collapsed="false"/>
    <row r="77" customFormat="false" ht="12" hidden="false" customHeight="true" outlineLevel="0" collapsed="false"/>
    <row r="78" customFormat="false" ht="12" hidden="false" customHeight="true" outlineLevel="0" collapsed="false"/>
    <row r="79" customFormat="false" ht="12" hidden="false" customHeight="true" outlineLevel="0" collapsed="false"/>
    <row r="80" customFormat="false" ht="12" hidden="false" customHeight="true" outlineLevel="0" collapsed="false"/>
    <row r="81" customFormat="false" ht="12" hidden="false" customHeight="true" outlineLevel="0" collapsed="false"/>
    <row r="82" customFormat="false" ht="12" hidden="false" customHeight="true" outlineLevel="0" collapsed="false"/>
    <row r="83" customFormat="false" ht="12" hidden="false" customHeight="true" outlineLevel="0" collapsed="false"/>
    <row r="84" customFormat="false" ht="12" hidden="false" customHeight="true" outlineLevel="0" collapsed="false"/>
    <row r="85" customFormat="false" ht="12" hidden="false" customHeight="true" outlineLevel="0" collapsed="false"/>
    <row r="86" customFormat="false" ht="12" hidden="false" customHeight="true" outlineLevel="0" collapsed="false"/>
    <row r="87" customFormat="false" ht="12" hidden="false" customHeight="true" outlineLevel="0" collapsed="false"/>
    <row r="88" customFormat="false" ht="12" hidden="false" customHeight="true" outlineLevel="0" collapsed="false"/>
    <row r="89" customFormat="false" ht="12" hidden="false" customHeight="true" outlineLevel="0" collapsed="false"/>
    <row r="90" customFormat="false" ht="12" hidden="false" customHeight="true" outlineLevel="0" collapsed="false"/>
    <row r="91" customFormat="false" ht="12" hidden="false" customHeight="true" outlineLevel="0" collapsed="false"/>
    <row r="92" customFormat="false" ht="12" hidden="false" customHeight="true" outlineLevel="0" collapsed="false"/>
    <row r="93" customFormat="false" ht="12" hidden="false" customHeight="true" outlineLevel="0" collapsed="false"/>
    <row r="94" customFormat="false" ht="12" hidden="false" customHeight="true" outlineLevel="0" collapsed="false"/>
    <row r="95" customFormat="false" ht="12" hidden="false" customHeight="true" outlineLevel="0" collapsed="false"/>
    <row r="96" customFormat="false" ht="12" hidden="false" customHeight="true" outlineLevel="0" collapsed="false"/>
    <row r="97" customFormat="false" ht="12" hidden="false" customHeight="true" outlineLevel="0" collapsed="false"/>
    <row r="98" customFormat="false" ht="12" hidden="false" customHeight="true" outlineLevel="0" collapsed="false"/>
    <row r="99" customFormat="false" ht="12" hidden="false" customHeight="true" outlineLevel="0" collapsed="false"/>
    <row r="100" customFormat="false" ht="12" hidden="false" customHeight="true" outlineLevel="0" collapsed="false"/>
    <row r="101" customFormat="false" ht="12" hidden="false" customHeight="true" outlineLevel="0" collapsed="false"/>
    <row r="102" customFormat="false" ht="12" hidden="false" customHeight="true" outlineLevel="0" collapsed="false"/>
    <row r="103" customFormat="false" ht="12" hidden="false" customHeight="true" outlineLevel="0" collapsed="false"/>
    <row r="104" customFormat="false" ht="12" hidden="false" customHeight="true" outlineLevel="0" collapsed="false"/>
    <row r="105" customFormat="false" ht="12" hidden="false" customHeight="true" outlineLevel="0" collapsed="false"/>
    <row r="106" customFormat="false" ht="12" hidden="false" customHeight="true" outlineLevel="0" collapsed="false"/>
    <row r="107" customFormat="false" ht="12" hidden="false" customHeight="true" outlineLevel="0" collapsed="false"/>
    <row r="108" customFormat="false" ht="12" hidden="false" customHeight="true" outlineLevel="0" collapsed="false"/>
    <row r="109" customFormat="false" ht="12" hidden="false" customHeight="true" outlineLevel="0" collapsed="false"/>
    <row r="110" customFormat="false" ht="12" hidden="false" customHeight="true" outlineLevel="0" collapsed="false"/>
    <row r="111" customFormat="false" ht="12" hidden="false" customHeight="true" outlineLevel="0" collapsed="false"/>
    <row r="112" customFormat="false" ht="12" hidden="false" customHeight="true" outlineLevel="0" collapsed="false"/>
    <row r="113" customFormat="false" ht="12" hidden="false" customHeight="true" outlineLevel="0" collapsed="false"/>
    <row r="114" customFormat="false" ht="12" hidden="false" customHeight="true" outlineLevel="0" collapsed="false"/>
    <row r="115" customFormat="false" ht="12" hidden="false" customHeight="true" outlineLevel="0" collapsed="false"/>
    <row r="116" customFormat="false" ht="12" hidden="false" customHeight="true" outlineLevel="0" collapsed="false"/>
    <row r="117" customFormat="false" ht="12" hidden="false" customHeight="true" outlineLevel="0" collapsed="false"/>
    <row r="118" customFormat="false" ht="12" hidden="false" customHeight="true" outlineLevel="0" collapsed="false"/>
    <row r="119" customFormat="false" ht="12" hidden="false" customHeight="true" outlineLevel="0" collapsed="false"/>
    <row r="120" customFormat="false" ht="12" hidden="false" customHeight="true" outlineLevel="0" collapsed="false"/>
    <row r="121" customFormat="false" ht="12" hidden="false" customHeight="true" outlineLevel="0" collapsed="false"/>
    <row r="122" customFormat="false" ht="12" hidden="false" customHeight="true" outlineLevel="0" collapsed="false"/>
    <row r="123" customFormat="false" ht="12" hidden="false" customHeight="true" outlineLevel="0" collapsed="false"/>
    <row r="124" customFormat="false" ht="12" hidden="false" customHeight="true" outlineLevel="0" collapsed="false"/>
    <row r="125" customFormat="false" ht="12" hidden="false" customHeight="true" outlineLevel="0" collapsed="false"/>
    <row r="126" customFormat="false" ht="12" hidden="false" customHeight="true" outlineLevel="0" collapsed="false"/>
    <row r="127" customFormat="false" ht="12" hidden="false" customHeight="true" outlineLevel="0" collapsed="false"/>
    <row r="128" customFormat="false" ht="12" hidden="false" customHeight="true" outlineLevel="0" collapsed="false"/>
    <row r="129" customFormat="false" ht="12" hidden="false" customHeight="true" outlineLevel="0" collapsed="false"/>
    <row r="130" customFormat="false" ht="12" hidden="false" customHeight="true" outlineLevel="0" collapsed="false"/>
    <row r="131" customFormat="false" ht="12" hidden="false" customHeight="true" outlineLevel="0" collapsed="false"/>
    <row r="132" customFormat="false" ht="12" hidden="false" customHeight="true" outlineLevel="0" collapsed="false"/>
    <row r="133" customFormat="false" ht="12" hidden="false" customHeight="true" outlineLevel="0" collapsed="false"/>
    <row r="134" customFormat="false" ht="12" hidden="false" customHeight="true" outlineLevel="0" collapsed="false"/>
    <row r="135" customFormat="false" ht="12" hidden="false" customHeight="true" outlineLevel="0" collapsed="false"/>
    <row r="136" customFormat="false" ht="12" hidden="false" customHeight="true" outlineLevel="0" collapsed="false"/>
    <row r="137" customFormat="false" ht="12" hidden="false" customHeight="true" outlineLevel="0" collapsed="false"/>
    <row r="138" customFormat="false" ht="12" hidden="false" customHeight="true" outlineLevel="0" collapsed="false"/>
    <row r="139" customFormat="false" ht="12" hidden="false" customHeight="true" outlineLevel="0" collapsed="false"/>
    <row r="140" customFormat="false" ht="12" hidden="false" customHeight="true" outlineLevel="0" collapsed="false"/>
    <row r="141" customFormat="false" ht="12" hidden="false" customHeight="true" outlineLevel="0" collapsed="false"/>
    <row r="142" customFormat="false" ht="12" hidden="false" customHeight="true" outlineLevel="0" collapsed="false"/>
    <row r="143" customFormat="false" ht="12" hidden="false" customHeight="true" outlineLevel="0" collapsed="false"/>
    <row r="144" customFormat="false" ht="12" hidden="false" customHeight="true" outlineLevel="0" collapsed="false"/>
    <row r="145" customFormat="false" ht="12" hidden="false" customHeight="true" outlineLevel="0" collapsed="false"/>
    <row r="146" customFormat="false" ht="12" hidden="false" customHeight="true" outlineLevel="0" collapsed="false"/>
    <row r="147" customFormat="false" ht="12" hidden="false" customHeight="true" outlineLevel="0" collapsed="false"/>
    <row r="148" customFormat="false" ht="12" hidden="false" customHeight="true" outlineLevel="0" collapsed="false"/>
    <row r="149" customFormat="false" ht="12" hidden="false" customHeight="true" outlineLevel="0" collapsed="false"/>
    <row r="150" customFormat="false" ht="12" hidden="false" customHeight="true" outlineLevel="0" collapsed="false"/>
    <row r="151" customFormat="false" ht="12" hidden="false" customHeight="true" outlineLevel="0" collapsed="false"/>
    <row r="152" customFormat="false" ht="12" hidden="false" customHeight="true" outlineLevel="0" collapsed="false"/>
    <row r="153" customFormat="false" ht="12" hidden="false" customHeight="true" outlineLevel="0" collapsed="false"/>
    <row r="154" customFormat="false" ht="12" hidden="false" customHeight="true" outlineLevel="0" collapsed="false"/>
    <row r="155" customFormat="false" ht="12" hidden="false" customHeight="true" outlineLevel="0" collapsed="false"/>
    <row r="156" customFormat="false" ht="12" hidden="false" customHeight="true" outlineLevel="0" collapsed="false"/>
    <row r="157" customFormat="false" ht="12" hidden="false" customHeight="true" outlineLevel="0" collapsed="false"/>
    <row r="158" customFormat="false" ht="12" hidden="false" customHeight="true" outlineLevel="0" collapsed="false"/>
    <row r="159" customFormat="false" ht="12" hidden="false" customHeight="true" outlineLevel="0" collapsed="false"/>
    <row r="160" customFormat="false" ht="12" hidden="false" customHeight="true" outlineLevel="0" collapsed="false"/>
    <row r="161" customFormat="false" ht="12" hidden="false" customHeight="true" outlineLevel="0" collapsed="false"/>
    <row r="162" customFormat="false" ht="12" hidden="false" customHeight="true" outlineLevel="0" collapsed="false"/>
    <row r="163" customFormat="false" ht="12" hidden="false" customHeight="true" outlineLevel="0" collapsed="false"/>
    <row r="164" customFormat="false" ht="12" hidden="false" customHeight="true" outlineLevel="0" collapsed="false"/>
    <row r="165" customFormat="false" ht="12" hidden="false" customHeight="true" outlineLevel="0" collapsed="false"/>
    <row r="166" customFormat="false" ht="12" hidden="false" customHeight="true" outlineLevel="0" collapsed="false"/>
    <row r="167" customFormat="false" ht="12" hidden="false" customHeight="true" outlineLevel="0" collapsed="false"/>
    <row r="168" customFormat="false" ht="12" hidden="false" customHeight="true" outlineLevel="0" collapsed="false"/>
    <row r="169" customFormat="false" ht="12" hidden="false" customHeight="true" outlineLevel="0" collapsed="false"/>
    <row r="170" customFormat="false" ht="12" hidden="false" customHeight="true" outlineLevel="0" collapsed="false"/>
    <row r="171" customFormat="false" ht="12" hidden="false" customHeight="true" outlineLevel="0" collapsed="false"/>
    <row r="172" customFormat="false" ht="12" hidden="false" customHeight="true" outlineLevel="0" collapsed="false"/>
    <row r="173" customFormat="false" ht="12" hidden="false" customHeight="true" outlineLevel="0" collapsed="false"/>
    <row r="174" customFormat="false" ht="12" hidden="false" customHeight="true" outlineLevel="0" collapsed="false"/>
    <row r="175" customFormat="false" ht="12" hidden="false" customHeight="true" outlineLevel="0" collapsed="false"/>
    <row r="176" customFormat="false" ht="12" hidden="false" customHeight="true" outlineLevel="0" collapsed="false"/>
    <row r="177" customFormat="false" ht="12" hidden="false" customHeight="true" outlineLevel="0" collapsed="false"/>
    <row r="178" customFormat="false" ht="12" hidden="false" customHeight="true" outlineLevel="0" collapsed="false"/>
    <row r="179" customFormat="false" ht="12" hidden="false" customHeight="true" outlineLevel="0" collapsed="false"/>
    <row r="180" customFormat="false" ht="12" hidden="false" customHeight="true" outlineLevel="0" collapsed="false"/>
    <row r="181" customFormat="false" ht="12" hidden="false" customHeight="true" outlineLevel="0" collapsed="false"/>
    <row r="182" customFormat="false" ht="12" hidden="false" customHeight="true" outlineLevel="0" collapsed="false"/>
    <row r="183" customFormat="false" ht="12" hidden="false" customHeight="true" outlineLevel="0" collapsed="false"/>
    <row r="184" customFormat="false" ht="12" hidden="false" customHeight="true" outlineLevel="0" collapsed="false"/>
    <row r="185" customFormat="false" ht="12" hidden="false" customHeight="true" outlineLevel="0" collapsed="false"/>
    <row r="186" customFormat="false" ht="12" hidden="false" customHeight="true" outlineLevel="0" collapsed="false"/>
    <row r="187" customFormat="false" ht="12" hidden="false" customHeight="true" outlineLevel="0" collapsed="false"/>
    <row r="188" customFormat="false" ht="12" hidden="false" customHeight="true" outlineLevel="0" collapsed="false"/>
    <row r="189" customFormat="false" ht="12" hidden="false" customHeight="true" outlineLevel="0" collapsed="false"/>
    <row r="190" customFormat="false" ht="12" hidden="false" customHeight="true" outlineLevel="0" collapsed="false"/>
    <row r="191" customFormat="false" ht="12" hidden="false" customHeight="true" outlineLevel="0" collapsed="false"/>
    <row r="192" customFormat="false" ht="12" hidden="false" customHeight="true" outlineLevel="0" collapsed="false"/>
    <row r="193" customFormat="false" ht="12" hidden="false" customHeight="true" outlineLevel="0" collapsed="false"/>
    <row r="194" customFormat="false" ht="12" hidden="false" customHeight="true" outlineLevel="0" collapsed="false"/>
    <row r="195" customFormat="false" ht="12" hidden="false" customHeight="true" outlineLevel="0" collapsed="false"/>
    <row r="196" customFormat="false" ht="12" hidden="false" customHeight="true" outlineLevel="0" collapsed="false"/>
    <row r="197" customFormat="false" ht="12" hidden="false" customHeight="true" outlineLevel="0" collapsed="false"/>
    <row r="198" customFormat="false" ht="12" hidden="false" customHeight="true" outlineLevel="0" collapsed="false"/>
    <row r="199" customFormat="false" ht="12" hidden="false" customHeight="true" outlineLevel="0" collapsed="false"/>
    <row r="200" customFormat="false" ht="12" hidden="false" customHeight="true" outlineLevel="0" collapsed="false"/>
    <row r="201" customFormat="false" ht="12" hidden="false" customHeight="true" outlineLevel="0" collapsed="false"/>
    <row r="202" customFormat="false" ht="12" hidden="false" customHeight="true" outlineLevel="0" collapsed="false"/>
    <row r="203" customFormat="false" ht="12" hidden="false" customHeight="true" outlineLevel="0" collapsed="false"/>
    <row r="204" customFormat="false" ht="12" hidden="false" customHeight="true" outlineLevel="0" collapsed="false"/>
    <row r="205" customFormat="false" ht="12" hidden="false" customHeight="true" outlineLevel="0" collapsed="false"/>
    <row r="206" customFormat="false" ht="12" hidden="false" customHeight="true" outlineLevel="0" collapsed="false"/>
    <row r="207" customFormat="false" ht="12" hidden="false" customHeight="true" outlineLevel="0" collapsed="false"/>
    <row r="208" customFormat="false" ht="12" hidden="false" customHeight="true" outlineLevel="0" collapsed="false"/>
    <row r="209" customFormat="false" ht="12" hidden="false" customHeight="true" outlineLevel="0" collapsed="false"/>
    <row r="210" customFormat="false" ht="12" hidden="false" customHeight="true" outlineLevel="0" collapsed="false"/>
    <row r="211" customFormat="false" ht="12" hidden="false" customHeight="true" outlineLevel="0" collapsed="false"/>
    <row r="212" customFormat="false" ht="12" hidden="false" customHeight="true" outlineLevel="0" collapsed="false"/>
    <row r="213" customFormat="false" ht="12" hidden="false" customHeight="true" outlineLevel="0" collapsed="false"/>
    <row r="214" customFormat="false" ht="12" hidden="false" customHeight="true" outlineLevel="0" collapsed="false"/>
    <row r="215" customFormat="false" ht="12" hidden="false" customHeight="true" outlineLevel="0" collapsed="false"/>
    <row r="216" customFormat="false" ht="12" hidden="false" customHeight="true" outlineLevel="0" collapsed="false"/>
    <row r="217" customFormat="false" ht="12" hidden="false" customHeight="true" outlineLevel="0" collapsed="false"/>
    <row r="218" customFormat="false" ht="12" hidden="false" customHeight="true" outlineLevel="0" collapsed="false"/>
    <row r="219" customFormat="false" ht="12" hidden="false" customHeight="true" outlineLevel="0" collapsed="false"/>
    <row r="220" customFormat="false" ht="12" hidden="false" customHeight="true" outlineLevel="0" collapsed="false"/>
    <row r="221" customFormat="false" ht="12" hidden="false" customHeight="true" outlineLevel="0" collapsed="false"/>
    <row r="222" customFormat="false" ht="12" hidden="false" customHeight="true" outlineLevel="0" collapsed="false"/>
    <row r="223" customFormat="false" ht="12" hidden="false" customHeight="true" outlineLevel="0" collapsed="false"/>
    <row r="224" customFormat="false" ht="12" hidden="false" customHeight="true" outlineLevel="0" collapsed="false"/>
    <row r="225" customFormat="false" ht="12" hidden="false" customHeight="true" outlineLevel="0" collapsed="false"/>
    <row r="226" customFormat="false" ht="12" hidden="false" customHeight="true" outlineLevel="0" collapsed="false"/>
    <row r="227" customFormat="false" ht="12" hidden="false" customHeight="true" outlineLevel="0" collapsed="false"/>
    <row r="228" customFormat="false" ht="12" hidden="false" customHeight="true" outlineLevel="0" collapsed="false"/>
    <row r="229" customFormat="false" ht="12" hidden="false" customHeight="true" outlineLevel="0" collapsed="false"/>
    <row r="230" customFormat="false" ht="12" hidden="false" customHeight="true" outlineLevel="0" collapsed="false"/>
    <row r="231" customFormat="false" ht="12" hidden="false" customHeight="true" outlineLevel="0" collapsed="false"/>
    <row r="232" customFormat="false" ht="12" hidden="false" customHeight="true" outlineLevel="0" collapsed="false"/>
    <row r="233" customFormat="false" ht="12" hidden="false" customHeight="true" outlineLevel="0" collapsed="false"/>
    <row r="234" customFormat="false" ht="12" hidden="false" customHeight="true" outlineLevel="0" collapsed="false"/>
    <row r="235" customFormat="false" ht="12" hidden="false" customHeight="true" outlineLevel="0" collapsed="false"/>
    <row r="236" customFormat="false" ht="12" hidden="false" customHeight="true" outlineLevel="0" collapsed="false"/>
    <row r="237" customFormat="false" ht="12" hidden="false" customHeight="true" outlineLevel="0" collapsed="false"/>
    <row r="238" customFormat="false" ht="12" hidden="false" customHeight="true" outlineLevel="0" collapsed="false"/>
    <row r="239" customFormat="false" ht="12" hidden="false" customHeight="true" outlineLevel="0" collapsed="false"/>
    <row r="240" customFormat="false" ht="12" hidden="false" customHeight="true" outlineLevel="0" collapsed="false"/>
    <row r="241" customFormat="false" ht="12" hidden="false" customHeight="true" outlineLevel="0" collapsed="false"/>
    <row r="242" customFormat="false" ht="12" hidden="false" customHeight="true" outlineLevel="0" collapsed="false"/>
    <row r="243" customFormat="false" ht="12" hidden="false" customHeight="true" outlineLevel="0" collapsed="false"/>
    <row r="244" customFormat="false" ht="12" hidden="false" customHeight="true" outlineLevel="0" collapsed="false"/>
    <row r="245" customFormat="false" ht="12" hidden="false" customHeight="true" outlineLevel="0" collapsed="false"/>
    <row r="246" customFormat="false" ht="12" hidden="false" customHeight="true" outlineLevel="0" collapsed="false"/>
    <row r="247" customFormat="false" ht="12" hidden="false" customHeight="true" outlineLevel="0" collapsed="false"/>
    <row r="248" customFormat="false" ht="12" hidden="false" customHeight="true" outlineLevel="0" collapsed="false"/>
    <row r="249" customFormat="false" ht="12" hidden="false" customHeight="true" outlineLevel="0" collapsed="false"/>
    <row r="250" customFormat="false" ht="12" hidden="false" customHeight="true" outlineLevel="0" collapsed="false"/>
    <row r="251" customFormat="false" ht="12" hidden="false" customHeight="true" outlineLevel="0" collapsed="false"/>
    <row r="252" customFormat="false" ht="12" hidden="false" customHeight="true" outlineLevel="0" collapsed="false"/>
    <row r="253" customFormat="false" ht="12" hidden="false" customHeight="true" outlineLevel="0" collapsed="false"/>
    <row r="254" customFormat="false" ht="12" hidden="false" customHeight="true" outlineLevel="0" collapsed="false"/>
    <row r="255" customFormat="false" ht="12" hidden="false" customHeight="true" outlineLevel="0" collapsed="false"/>
    <row r="256" customFormat="false" ht="12" hidden="false" customHeight="true" outlineLevel="0" collapsed="false"/>
    <row r="257" customFormat="false" ht="12" hidden="false" customHeight="true" outlineLevel="0" collapsed="false"/>
    <row r="258" customFormat="false" ht="12" hidden="false" customHeight="true" outlineLevel="0" collapsed="false"/>
    <row r="259" customFormat="false" ht="12" hidden="false" customHeight="true" outlineLevel="0" collapsed="false"/>
    <row r="260" customFormat="false" ht="12" hidden="false" customHeight="true" outlineLevel="0" collapsed="false"/>
    <row r="261" customFormat="false" ht="12" hidden="false" customHeight="true" outlineLevel="0" collapsed="false"/>
    <row r="262" customFormat="false" ht="12" hidden="false" customHeight="true" outlineLevel="0" collapsed="false"/>
    <row r="263" customFormat="false" ht="12" hidden="false" customHeight="true" outlineLevel="0" collapsed="false"/>
    <row r="264" customFormat="false" ht="12" hidden="false" customHeight="true" outlineLevel="0" collapsed="false"/>
    <row r="265" customFormat="false" ht="12" hidden="false" customHeight="true" outlineLevel="0" collapsed="false"/>
    <row r="266" customFormat="false" ht="12" hidden="false" customHeight="true" outlineLevel="0" collapsed="false"/>
    <row r="267" customFormat="false" ht="12" hidden="false" customHeight="true" outlineLevel="0" collapsed="false"/>
    <row r="268" customFormat="false" ht="12" hidden="false" customHeight="true" outlineLevel="0" collapsed="false"/>
    <row r="269" customFormat="false" ht="12" hidden="false" customHeight="true" outlineLevel="0" collapsed="false"/>
    <row r="270" customFormat="false" ht="12" hidden="false" customHeight="true" outlineLevel="0" collapsed="false"/>
    <row r="271" customFormat="false" ht="12" hidden="false" customHeight="true" outlineLevel="0" collapsed="false"/>
    <row r="272" customFormat="false" ht="12" hidden="false" customHeight="true" outlineLevel="0" collapsed="false"/>
    <row r="273" customFormat="false" ht="12" hidden="false" customHeight="true" outlineLevel="0" collapsed="false"/>
    <row r="274" customFormat="false" ht="12" hidden="false" customHeight="true" outlineLevel="0" collapsed="false"/>
    <row r="275" customFormat="false" ht="12" hidden="false" customHeight="true" outlineLevel="0" collapsed="false"/>
    <row r="276" customFormat="false" ht="12" hidden="false" customHeight="true" outlineLevel="0" collapsed="false"/>
    <row r="277" customFormat="false" ht="12" hidden="false" customHeight="true" outlineLevel="0" collapsed="false"/>
    <row r="278" customFormat="false" ht="12" hidden="false" customHeight="true" outlineLevel="0" collapsed="false"/>
    <row r="279" customFormat="false" ht="12" hidden="false" customHeight="true" outlineLevel="0" collapsed="false"/>
    <row r="280" customFormat="false" ht="12" hidden="false" customHeight="true" outlineLevel="0" collapsed="false"/>
    <row r="281" customFormat="false" ht="12" hidden="false" customHeight="true" outlineLevel="0" collapsed="false"/>
    <row r="282" customFormat="false" ht="12" hidden="false" customHeight="true" outlineLevel="0" collapsed="false"/>
    <row r="283" customFormat="false" ht="12" hidden="false" customHeight="true" outlineLevel="0" collapsed="false"/>
    <row r="284" customFormat="false" ht="12" hidden="false" customHeight="true" outlineLevel="0" collapsed="false"/>
    <row r="285" customFormat="false" ht="12" hidden="false" customHeight="true" outlineLevel="0" collapsed="false"/>
    <row r="286" customFormat="false" ht="12" hidden="false" customHeight="true" outlineLevel="0" collapsed="false"/>
    <row r="287" customFormat="false" ht="12" hidden="false" customHeight="true" outlineLevel="0" collapsed="false"/>
    <row r="288" customFormat="false" ht="12" hidden="false" customHeight="true" outlineLevel="0" collapsed="false"/>
    <row r="289" customFormat="false" ht="12" hidden="false" customHeight="true" outlineLevel="0" collapsed="false"/>
    <row r="290" customFormat="false" ht="12" hidden="false" customHeight="true" outlineLevel="0" collapsed="false"/>
    <row r="291" customFormat="false" ht="12" hidden="false" customHeight="true" outlineLevel="0" collapsed="false"/>
    <row r="292" customFormat="false" ht="12" hidden="false" customHeight="true" outlineLevel="0" collapsed="false"/>
    <row r="293" customFormat="false" ht="12" hidden="false" customHeight="true" outlineLevel="0" collapsed="false"/>
    <row r="294" customFormat="false" ht="12" hidden="false" customHeight="true" outlineLevel="0" collapsed="false"/>
    <row r="295" customFormat="false" ht="12" hidden="false" customHeight="true" outlineLevel="0" collapsed="false"/>
    <row r="296" customFormat="false" ht="12" hidden="false" customHeight="true" outlineLevel="0" collapsed="false"/>
    <row r="297" customFormat="false" ht="12" hidden="false" customHeight="true" outlineLevel="0" collapsed="false"/>
    <row r="298" customFormat="false" ht="12" hidden="false" customHeight="true" outlineLevel="0" collapsed="false"/>
    <row r="299" customFormat="false" ht="12" hidden="false" customHeight="true" outlineLevel="0" collapsed="false"/>
    <row r="300" customFormat="false" ht="12" hidden="false" customHeight="true" outlineLevel="0" collapsed="false"/>
    <row r="301" customFormat="false" ht="12" hidden="false" customHeight="true" outlineLevel="0" collapsed="false"/>
    <row r="302" customFormat="false" ht="12" hidden="false" customHeight="true" outlineLevel="0" collapsed="false"/>
    <row r="303" customFormat="false" ht="12" hidden="false" customHeight="true" outlineLevel="0" collapsed="false"/>
    <row r="304" customFormat="false" ht="12" hidden="false" customHeight="true" outlineLevel="0" collapsed="false"/>
    <row r="305" customFormat="false" ht="12" hidden="false" customHeight="true" outlineLevel="0" collapsed="false"/>
    <row r="306" customFormat="false" ht="12" hidden="false" customHeight="true" outlineLevel="0" collapsed="false"/>
    <row r="307" customFormat="false" ht="12" hidden="false" customHeight="true" outlineLevel="0" collapsed="false"/>
    <row r="308" customFormat="false" ht="12" hidden="false" customHeight="true" outlineLevel="0" collapsed="false"/>
    <row r="309" customFormat="false" ht="12" hidden="false" customHeight="true" outlineLevel="0" collapsed="false"/>
    <row r="310" customFormat="false" ht="12" hidden="false" customHeight="true" outlineLevel="0" collapsed="false"/>
    <row r="311" customFormat="false" ht="12" hidden="false" customHeight="true" outlineLevel="0" collapsed="false"/>
    <row r="312" customFormat="false" ht="12" hidden="false" customHeight="true" outlineLevel="0" collapsed="false"/>
    <row r="313" customFormat="false" ht="12" hidden="false" customHeight="true" outlineLevel="0" collapsed="false"/>
    <row r="314" customFormat="false" ht="12" hidden="false" customHeight="true" outlineLevel="0" collapsed="false"/>
    <row r="315" customFormat="false" ht="12" hidden="false" customHeight="true" outlineLevel="0" collapsed="false"/>
    <row r="316" customFormat="false" ht="12" hidden="false" customHeight="true" outlineLevel="0" collapsed="false"/>
    <row r="317" customFormat="false" ht="12" hidden="false" customHeight="true" outlineLevel="0" collapsed="false"/>
    <row r="318" customFormat="false" ht="12" hidden="false" customHeight="true" outlineLevel="0" collapsed="false"/>
    <row r="319" customFormat="false" ht="12" hidden="false" customHeight="true" outlineLevel="0" collapsed="false"/>
    <row r="320" customFormat="false" ht="12" hidden="false" customHeight="true" outlineLevel="0" collapsed="false"/>
    <row r="321" customFormat="false" ht="12" hidden="false" customHeight="true" outlineLevel="0" collapsed="false"/>
    <row r="322" customFormat="false" ht="12" hidden="false" customHeight="true" outlineLevel="0" collapsed="false"/>
    <row r="323" customFormat="false" ht="12" hidden="false" customHeight="true" outlineLevel="0" collapsed="false"/>
    <row r="324" customFormat="false" ht="12" hidden="false" customHeight="true" outlineLevel="0" collapsed="false"/>
    <row r="325" customFormat="false" ht="12" hidden="false" customHeight="true" outlineLevel="0" collapsed="false"/>
    <row r="326" customFormat="false" ht="12" hidden="false" customHeight="true" outlineLevel="0" collapsed="false"/>
    <row r="327" customFormat="false" ht="12" hidden="false" customHeight="true" outlineLevel="0" collapsed="false"/>
    <row r="328" customFormat="false" ht="12" hidden="false" customHeight="true" outlineLevel="0" collapsed="false"/>
    <row r="329" customFormat="false" ht="12" hidden="false" customHeight="true" outlineLevel="0" collapsed="false"/>
    <row r="330" customFormat="false" ht="12" hidden="false" customHeight="true" outlineLevel="0" collapsed="false"/>
    <row r="331" customFormat="false" ht="12" hidden="false" customHeight="true" outlineLevel="0" collapsed="false"/>
    <row r="332" customFormat="false" ht="12" hidden="false" customHeight="true" outlineLevel="0" collapsed="false"/>
    <row r="333" customFormat="false" ht="12" hidden="false" customHeight="true" outlineLevel="0" collapsed="false"/>
    <row r="334" customFormat="false" ht="12" hidden="false" customHeight="true" outlineLevel="0" collapsed="false"/>
    <row r="335" customFormat="false" ht="12" hidden="false" customHeight="true" outlineLevel="0" collapsed="false"/>
    <row r="336" customFormat="false" ht="12" hidden="false" customHeight="true" outlineLevel="0" collapsed="false"/>
    <row r="337" customFormat="false" ht="12" hidden="false" customHeight="true" outlineLevel="0" collapsed="false"/>
    <row r="338" customFormat="false" ht="12" hidden="false" customHeight="true" outlineLevel="0" collapsed="false"/>
    <row r="339" customFormat="false" ht="12" hidden="false" customHeight="true" outlineLevel="0" collapsed="false"/>
    <row r="340" customFormat="false" ht="12" hidden="false" customHeight="true" outlineLevel="0" collapsed="false"/>
    <row r="341" customFormat="false" ht="12" hidden="false" customHeight="true" outlineLevel="0" collapsed="false"/>
    <row r="342" customFormat="false" ht="12" hidden="false" customHeight="true" outlineLevel="0" collapsed="false"/>
    <row r="343" customFormat="false" ht="12" hidden="false" customHeight="true" outlineLevel="0" collapsed="false"/>
    <row r="344" customFormat="false" ht="12" hidden="false" customHeight="true" outlineLevel="0" collapsed="false"/>
    <row r="345" customFormat="false" ht="12" hidden="false" customHeight="true" outlineLevel="0" collapsed="false"/>
    <row r="346" customFormat="false" ht="12" hidden="false" customHeight="true" outlineLevel="0" collapsed="false"/>
    <row r="347" customFormat="false" ht="12" hidden="false" customHeight="true" outlineLevel="0" collapsed="false"/>
    <row r="348" customFormat="false" ht="12" hidden="false" customHeight="true" outlineLevel="0" collapsed="false"/>
    <row r="349" customFormat="false" ht="12" hidden="false" customHeight="true" outlineLevel="0" collapsed="false"/>
    <row r="350" customFormat="false" ht="12" hidden="false" customHeight="true" outlineLevel="0" collapsed="false"/>
    <row r="351" customFormat="false" ht="12" hidden="false" customHeight="true" outlineLevel="0" collapsed="false"/>
    <row r="352" customFormat="false" ht="12" hidden="false" customHeight="true" outlineLevel="0" collapsed="false"/>
    <row r="353" customFormat="false" ht="12" hidden="false" customHeight="true" outlineLevel="0" collapsed="false"/>
    <row r="354" customFormat="false" ht="12" hidden="false" customHeight="true" outlineLevel="0" collapsed="false"/>
    <row r="355" customFormat="false" ht="12" hidden="false" customHeight="true" outlineLevel="0" collapsed="false"/>
    <row r="356" customFormat="false" ht="12" hidden="false" customHeight="true" outlineLevel="0" collapsed="false"/>
    <row r="357" customFormat="false" ht="12" hidden="false" customHeight="true" outlineLevel="0" collapsed="false"/>
    <row r="358" customFormat="false" ht="12" hidden="false" customHeight="true" outlineLevel="0" collapsed="false"/>
    <row r="359" customFormat="false" ht="12" hidden="false" customHeight="true" outlineLevel="0" collapsed="false"/>
    <row r="360" customFormat="false" ht="12" hidden="false" customHeight="true" outlineLevel="0" collapsed="false"/>
    <row r="361" customFormat="false" ht="12" hidden="false" customHeight="true" outlineLevel="0" collapsed="false"/>
    <row r="362" customFormat="false" ht="12" hidden="false" customHeight="true" outlineLevel="0" collapsed="false"/>
    <row r="363" customFormat="false" ht="12" hidden="false" customHeight="true" outlineLevel="0" collapsed="false"/>
    <row r="364" customFormat="false" ht="12" hidden="false" customHeight="true" outlineLevel="0" collapsed="false"/>
    <row r="365" customFormat="false" ht="12" hidden="false" customHeight="true" outlineLevel="0" collapsed="false"/>
    <row r="366" customFormat="false" ht="12" hidden="false" customHeight="true" outlineLevel="0" collapsed="false"/>
    <row r="367" customFormat="false" ht="12" hidden="false" customHeight="true" outlineLevel="0" collapsed="false"/>
    <row r="368" customFormat="false" ht="12" hidden="false" customHeight="true" outlineLevel="0" collapsed="false"/>
    <row r="369" customFormat="false" ht="12" hidden="false" customHeight="true" outlineLevel="0" collapsed="false"/>
    <row r="370" customFormat="false" ht="12" hidden="false" customHeight="true" outlineLevel="0" collapsed="false"/>
    <row r="371" customFormat="false" ht="12" hidden="false" customHeight="true" outlineLevel="0" collapsed="false"/>
    <row r="372" customFormat="false" ht="12" hidden="false" customHeight="true" outlineLevel="0" collapsed="false"/>
    <row r="373" customFormat="false" ht="12" hidden="false" customHeight="true" outlineLevel="0" collapsed="false"/>
    <row r="374" customFormat="false" ht="12" hidden="false" customHeight="true" outlineLevel="0" collapsed="false"/>
    <row r="375" customFormat="false" ht="12" hidden="false" customHeight="true" outlineLevel="0" collapsed="false"/>
    <row r="376" customFormat="false" ht="12" hidden="false" customHeight="true" outlineLevel="0" collapsed="false"/>
    <row r="377" customFormat="false" ht="12" hidden="false" customHeight="true" outlineLevel="0" collapsed="false"/>
    <row r="378" customFormat="false" ht="12" hidden="false" customHeight="true" outlineLevel="0" collapsed="false"/>
    <row r="379" customFormat="false" ht="12" hidden="false" customHeight="true" outlineLevel="0" collapsed="false"/>
    <row r="380" customFormat="false" ht="12" hidden="false" customHeight="true" outlineLevel="0" collapsed="false"/>
    <row r="381" customFormat="false" ht="12" hidden="false" customHeight="true" outlineLevel="0" collapsed="false"/>
    <row r="382" customFormat="false" ht="12" hidden="false" customHeight="true" outlineLevel="0" collapsed="false"/>
    <row r="383" customFormat="false" ht="12" hidden="false" customHeight="true" outlineLevel="0" collapsed="false"/>
    <row r="384" customFormat="false" ht="12" hidden="false" customHeight="true" outlineLevel="0" collapsed="false"/>
    <row r="385" customFormat="false" ht="12" hidden="false" customHeight="true" outlineLevel="0" collapsed="false"/>
    <row r="386" customFormat="false" ht="12" hidden="false" customHeight="true" outlineLevel="0" collapsed="false"/>
    <row r="387" customFormat="false" ht="12" hidden="false" customHeight="true" outlineLevel="0" collapsed="false"/>
    <row r="388" customFormat="false" ht="12" hidden="false" customHeight="true" outlineLevel="0" collapsed="false"/>
    <row r="389" customFormat="false" ht="12" hidden="false" customHeight="true" outlineLevel="0" collapsed="false"/>
    <row r="390" customFormat="false" ht="12" hidden="false" customHeight="true" outlineLevel="0" collapsed="false"/>
    <row r="391" customFormat="false" ht="12" hidden="false" customHeight="true" outlineLevel="0" collapsed="false"/>
    <row r="392" customFormat="false" ht="12" hidden="false" customHeight="true" outlineLevel="0" collapsed="false"/>
    <row r="393" customFormat="false" ht="12" hidden="false" customHeight="true" outlineLevel="0" collapsed="false"/>
    <row r="394" customFormat="false" ht="12" hidden="false" customHeight="true" outlineLevel="0" collapsed="false"/>
    <row r="395" customFormat="false" ht="12" hidden="false" customHeight="true" outlineLevel="0" collapsed="false"/>
    <row r="396" customFormat="false" ht="12" hidden="false" customHeight="true" outlineLevel="0" collapsed="false"/>
    <row r="397" customFormat="false" ht="12" hidden="false" customHeight="true" outlineLevel="0" collapsed="false"/>
    <row r="398" customFormat="false" ht="12" hidden="false" customHeight="true" outlineLevel="0" collapsed="false"/>
    <row r="399" customFormat="false" ht="12" hidden="false" customHeight="true" outlineLevel="0" collapsed="false"/>
    <row r="400" customFormat="false" ht="12" hidden="false" customHeight="true" outlineLevel="0" collapsed="false"/>
    <row r="401" customFormat="false" ht="12" hidden="false" customHeight="true" outlineLevel="0" collapsed="false"/>
    <row r="402" customFormat="false" ht="12" hidden="false" customHeight="true" outlineLevel="0" collapsed="false"/>
    <row r="403" customFormat="false" ht="12" hidden="false" customHeight="true" outlineLevel="0" collapsed="false"/>
    <row r="404" customFormat="false" ht="12" hidden="false" customHeight="true" outlineLevel="0" collapsed="false"/>
    <row r="405" customFormat="false" ht="12" hidden="false" customHeight="true" outlineLevel="0" collapsed="false"/>
    <row r="406" customFormat="false" ht="12" hidden="false" customHeight="true" outlineLevel="0" collapsed="false"/>
    <row r="407" customFormat="false" ht="12" hidden="false" customHeight="true" outlineLevel="0" collapsed="false"/>
    <row r="408" customFormat="false" ht="12" hidden="false" customHeight="true" outlineLevel="0" collapsed="false"/>
    <row r="409" customFormat="false" ht="12" hidden="false" customHeight="true" outlineLevel="0" collapsed="false"/>
    <row r="410" customFormat="false" ht="12" hidden="false" customHeight="true" outlineLevel="0" collapsed="false"/>
    <row r="411" customFormat="false" ht="12" hidden="false" customHeight="true" outlineLevel="0" collapsed="false"/>
    <row r="412" customFormat="false" ht="12" hidden="false" customHeight="true" outlineLevel="0" collapsed="false"/>
    <row r="413" customFormat="false" ht="12" hidden="false" customHeight="true" outlineLevel="0" collapsed="false"/>
    <row r="414" customFormat="false" ht="12" hidden="false" customHeight="true" outlineLevel="0" collapsed="false"/>
    <row r="415" customFormat="false" ht="12" hidden="false" customHeight="true" outlineLevel="0" collapsed="false"/>
    <row r="416" customFormat="false" ht="12" hidden="false" customHeight="true" outlineLevel="0" collapsed="false"/>
    <row r="417" customFormat="false" ht="12" hidden="false" customHeight="true" outlineLevel="0" collapsed="false"/>
    <row r="418" customFormat="false" ht="12" hidden="false" customHeight="true" outlineLevel="0" collapsed="false"/>
    <row r="419" customFormat="false" ht="12" hidden="false" customHeight="true" outlineLevel="0" collapsed="false"/>
    <row r="420" customFormat="false" ht="12" hidden="false" customHeight="true" outlineLevel="0" collapsed="false"/>
    <row r="421" customFormat="false" ht="12" hidden="false" customHeight="true" outlineLevel="0" collapsed="false"/>
    <row r="422" customFormat="false" ht="12" hidden="false" customHeight="true" outlineLevel="0" collapsed="false"/>
    <row r="423" customFormat="false" ht="12" hidden="false" customHeight="true" outlineLevel="0" collapsed="false"/>
    <row r="424" customFormat="false" ht="12" hidden="false" customHeight="true" outlineLevel="0" collapsed="false"/>
    <row r="425" customFormat="false" ht="12" hidden="false" customHeight="true" outlineLevel="0" collapsed="false"/>
    <row r="426" customFormat="false" ht="12" hidden="false" customHeight="true" outlineLevel="0" collapsed="false"/>
    <row r="427" customFormat="false" ht="12" hidden="false" customHeight="true" outlineLevel="0" collapsed="false"/>
    <row r="428" customFormat="false" ht="12" hidden="false" customHeight="true" outlineLevel="0" collapsed="false"/>
    <row r="429" customFormat="false" ht="12" hidden="false" customHeight="true" outlineLevel="0" collapsed="false"/>
    <row r="430" customFormat="false" ht="12" hidden="false" customHeight="true" outlineLevel="0" collapsed="false"/>
    <row r="431" customFormat="false" ht="12" hidden="false" customHeight="true" outlineLevel="0" collapsed="false"/>
    <row r="432" customFormat="false" ht="12" hidden="false" customHeight="true" outlineLevel="0" collapsed="false"/>
    <row r="433" customFormat="false" ht="12" hidden="false" customHeight="true" outlineLevel="0" collapsed="false"/>
    <row r="434" customFormat="false" ht="12" hidden="false" customHeight="true" outlineLevel="0" collapsed="false"/>
    <row r="435" customFormat="false" ht="12" hidden="false" customHeight="true" outlineLevel="0" collapsed="false"/>
    <row r="436" customFormat="false" ht="12" hidden="false" customHeight="true" outlineLevel="0" collapsed="false"/>
    <row r="437" customFormat="false" ht="12" hidden="false" customHeight="true" outlineLevel="0" collapsed="false"/>
    <row r="438" customFormat="false" ht="12" hidden="false" customHeight="true" outlineLevel="0" collapsed="false"/>
    <row r="439" customFormat="false" ht="12" hidden="false" customHeight="true" outlineLevel="0" collapsed="false"/>
    <row r="440" customFormat="false" ht="12" hidden="false" customHeight="true" outlineLevel="0" collapsed="false"/>
    <row r="441" customFormat="false" ht="12" hidden="false" customHeight="true" outlineLevel="0" collapsed="false"/>
    <row r="442" customFormat="false" ht="12" hidden="false" customHeight="true" outlineLevel="0" collapsed="false"/>
    <row r="443" customFormat="false" ht="12" hidden="false" customHeight="true" outlineLevel="0" collapsed="false"/>
    <row r="444" customFormat="false" ht="12" hidden="false" customHeight="true" outlineLevel="0" collapsed="false"/>
    <row r="445" customFormat="false" ht="12" hidden="false" customHeight="true" outlineLevel="0" collapsed="false"/>
    <row r="446" customFormat="false" ht="12" hidden="false" customHeight="true" outlineLevel="0" collapsed="false"/>
    <row r="447" customFormat="false" ht="12" hidden="false" customHeight="true" outlineLevel="0" collapsed="false"/>
    <row r="448" customFormat="false" ht="12" hidden="false" customHeight="true" outlineLevel="0" collapsed="false"/>
    <row r="449" customFormat="false" ht="12" hidden="false" customHeight="true" outlineLevel="0" collapsed="false"/>
    <row r="450" customFormat="false" ht="12" hidden="false" customHeight="true" outlineLevel="0" collapsed="false"/>
    <row r="451" customFormat="false" ht="12" hidden="false" customHeight="true" outlineLevel="0" collapsed="false"/>
    <row r="452" customFormat="false" ht="12" hidden="false" customHeight="true" outlineLevel="0" collapsed="false"/>
    <row r="453" customFormat="false" ht="12" hidden="false" customHeight="true" outlineLevel="0" collapsed="false"/>
    <row r="454" customFormat="false" ht="12" hidden="false" customHeight="true" outlineLevel="0" collapsed="false"/>
    <row r="455" customFormat="false" ht="12" hidden="false" customHeight="true" outlineLevel="0" collapsed="false"/>
    <row r="456" customFormat="false" ht="12" hidden="false" customHeight="true" outlineLevel="0" collapsed="false"/>
    <row r="457" customFormat="false" ht="12" hidden="false" customHeight="true" outlineLevel="0" collapsed="false"/>
    <row r="458" customFormat="false" ht="12" hidden="false" customHeight="true" outlineLevel="0" collapsed="false"/>
    <row r="459" customFormat="false" ht="12" hidden="false" customHeight="true" outlineLevel="0" collapsed="false"/>
    <row r="460" customFormat="false" ht="12" hidden="false" customHeight="true" outlineLevel="0" collapsed="false"/>
    <row r="461" customFormat="false" ht="12" hidden="false" customHeight="true" outlineLevel="0" collapsed="false"/>
    <row r="462" customFormat="false" ht="12" hidden="false" customHeight="true" outlineLevel="0" collapsed="false"/>
    <row r="463" customFormat="false" ht="12" hidden="false" customHeight="true" outlineLevel="0" collapsed="false"/>
    <row r="464" customFormat="false" ht="12" hidden="false" customHeight="true" outlineLevel="0" collapsed="false"/>
    <row r="465" customFormat="false" ht="12" hidden="false" customHeight="true" outlineLevel="0" collapsed="false"/>
    <row r="466" customFormat="false" ht="12" hidden="false" customHeight="true" outlineLevel="0" collapsed="false"/>
    <row r="467" customFormat="false" ht="12" hidden="false" customHeight="true" outlineLevel="0" collapsed="false"/>
    <row r="468" customFormat="false" ht="12" hidden="false" customHeight="true" outlineLevel="0" collapsed="false"/>
    <row r="469" customFormat="false" ht="12" hidden="false" customHeight="true" outlineLevel="0" collapsed="false"/>
    <row r="470" customFormat="false" ht="12" hidden="false" customHeight="true" outlineLevel="0" collapsed="false"/>
    <row r="471" customFormat="false" ht="12" hidden="false" customHeight="true" outlineLevel="0" collapsed="false"/>
    <row r="472" customFormat="false" ht="12" hidden="false" customHeight="true" outlineLevel="0" collapsed="false"/>
    <row r="473" customFormat="false" ht="12" hidden="false" customHeight="true" outlineLevel="0" collapsed="false"/>
    <row r="474" customFormat="false" ht="12" hidden="false" customHeight="true" outlineLevel="0" collapsed="false"/>
    <row r="475" customFormat="false" ht="12" hidden="false" customHeight="true" outlineLevel="0" collapsed="false"/>
    <row r="476" customFormat="false" ht="12" hidden="false" customHeight="true" outlineLevel="0" collapsed="false"/>
    <row r="477" customFormat="false" ht="12" hidden="false" customHeight="true" outlineLevel="0" collapsed="false"/>
    <row r="478" customFormat="false" ht="12" hidden="false" customHeight="true" outlineLevel="0" collapsed="false"/>
    <row r="479" customFormat="false" ht="12" hidden="false" customHeight="true" outlineLevel="0" collapsed="false"/>
    <row r="480" customFormat="false" ht="12" hidden="false" customHeight="true" outlineLevel="0" collapsed="false"/>
    <row r="481" customFormat="false" ht="12" hidden="false" customHeight="true" outlineLevel="0" collapsed="false"/>
    <row r="482" customFormat="false" ht="12" hidden="false" customHeight="true" outlineLevel="0" collapsed="false"/>
    <row r="483" customFormat="false" ht="12" hidden="false" customHeight="true" outlineLevel="0" collapsed="false"/>
    <row r="484" customFormat="false" ht="12" hidden="false" customHeight="true" outlineLevel="0" collapsed="false"/>
    <row r="485" customFormat="false" ht="12" hidden="false" customHeight="true" outlineLevel="0" collapsed="false"/>
    <row r="486" customFormat="false" ht="12" hidden="false" customHeight="true" outlineLevel="0" collapsed="false"/>
    <row r="487" customFormat="false" ht="12" hidden="false" customHeight="true" outlineLevel="0" collapsed="false"/>
    <row r="488" customFormat="false" ht="12" hidden="false" customHeight="true" outlineLevel="0" collapsed="false"/>
    <row r="489" customFormat="false" ht="12" hidden="false" customHeight="true" outlineLevel="0" collapsed="false"/>
    <row r="490" customFormat="false" ht="12" hidden="false" customHeight="true" outlineLevel="0" collapsed="false"/>
    <row r="491" customFormat="false" ht="12" hidden="false" customHeight="true" outlineLevel="0" collapsed="false"/>
    <row r="492" customFormat="false" ht="12" hidden="false" customHeight="true" outlineLevel="0" collapsed="false"/>
    <row r="493" customFormat="false" ht="12" hidden="false" customHeight="true" outlineLevel="0" collapsed="false"/>
    <row r="494" customFormat="false" ht="12" hidden="false" customHeight="true" outlineLevel="0" collapsed="false"/>
    <row r="495" customFormat="false" ht="12" hidden="false" customHeight="true" outlineLevel="0" collapsed="false"/>
    <row r="496" customFormat="false" ht="12" hidden="false" customHeight="true" outlineLevel="0" collapsed="false"/>
    <row r="497" customFormat="false" ht="12" hidden="false" customHeight="true" outlineLevel="0" collapsed="false"/>
    <row r="498" customFormat="false" ht="12" hidden="false" customHeight="true" outlineLevel="0" collapsed="false"/>
    <row r="499" customFormat="false" ht="12" hidden="false" customHeight="true" outlineLevel="0" collapsed="false"/>
    <row r="500" customFormat="false" ht="12" hidden="false" customHeight="true" outlineLevel="0" collapsed="false"/>
    <row r="501" customFormat="false" ht="12" hidden="false" customHeight="true" outlineLevel="0" collapsed="false"/>
    <row r="502" customFormat="false" ht="12" hidden="false" customHeight="true" outlineLevel="0" collapsed="false"/>
    <row r="503" customFormat="false" ht="12" hidden="false" customHeight="true" outlineLevel="0" collapsed="false"/>
    <row r="504" customFormat="false" ht="12" hidden="false" customHeight="true" outlineLevel="0" collapsed="false"/>
    <row r="505" customFormat="false" ht="12" hidden="false" customHeight="true" outlineLevel="0" collapsed="false"/>
    <row r="506" customFormat="false" ht="12" hidden="false" customHeight="true" outlineLevel="0" collapsed="false"/>
    <row r="507" customFormat="false" ht="12" hidden="false" customHeight="true" outlineLevel="0" collapsed="false"/>
    <row r="508" customFormat="false" ht="12" hidden="false" customHeight="true" outlineLevel="0" collapsed="false"/>
    <row r="509" customFormat="false" ht="12" hidden="false" customHeight="true" outlineLevel="0" collapsed="false"/>
    <row r="510" customFormat="false" ht="12" hidden="false" customHeight="true" outlineLevel="0" collapsed="false"/>
    <row r="511" customFormat="false" ht="12" hidden="false" customHeight="true" outlineLevel="0" collapsed="false"/>
    <row r="512" customFormat="false" ht="12" hidden="false" customHeight="true" outlineLevel="0" collapsed="false"/>
    <row r="513" customFormat="false" ht="12" hidden="false" customHeight="true" outlineLevel="0" collapsed="false"/>
    <row r="514" customFormat="false" ht="12" hidden="false" customHeight="true" outlineLevel="0" collapsed="false"/>
    <row r="515" customFormat="false" ht="12" hidden="false" customHeight="true" outlineLevel="0" collapsed="false"/>
    <row r="516" customFormat="false" ht="12" hidden="false" customHeight="true" outlineLevel="0" collapsed="false"/>
    <row r="517" customFormat="false" ht="12" hidden="false" customHeight="true" outlineLevel="0" collapsed="false"/>
    <row r="518" customFormat="false" ht="12" hidden="false" customHeight="true" outlineLevel="0" collapsed="false"/>
    <row r="519" customFormat="false" ht="12" hidden="false" customHeight="true" outlineLevel="0" collapsed="false"/>
    <row r="520" customFormat="false" ht="12" hidden="false" customHeight="true" outlineLevel="0" collapsed="false"/>
    <row r="521" customFormat="false" ht="12" hidden="false" customHeight="true" outlineLevel="0" collapsed="false"/>
    <row r="522" customFormat="false" ht="12" hidden="false" customHeight="true" outlineLevel="0" collapsed="false"/>
    <row r="523" customFormat="false" ht="12" hidden="false" customHeight="true" outlineLevel="0" collapsed="false"/>
    <row r="524" customFormat="false" ht="12" hidden="false" customHeight="true" outlineLevel="0" collapsed="false"/>
    <row r="525" customFormat="false" ht="12" hidden="false" customHeight="true" outlineLevel="0" collapsed="false"/>
    <row r="526" customFormat="false" ht="12" hidden="false" customHeight="true" outlineLevel="0" collapsed="false"/>
    <row r="527" customFormat="false" ht="12" hidden="false" customHeight="true" outlineLevel="0" collapsed="false"/>
    <row r="528" customFormat="false" ht="12" hidden="false" customHeight="true" outlineLevel="0" collapsed="false"/>
    <row r="529" customFormat="false" ht="12" hidden="false" customHeight="true" outlineLevel="0" collapsed="false"/>
    <row r="530" customFormat="false" ht="12" hidden="false" customHeight="true" outlineLevel="0" collapsed="false"/>
    <row r="531" customFormat="false" ht="12" hidden="false" customHeight="true" outlineLevel="0" collapsed="false"/>
    <row r="532" customFormat="false" ht="12" hidden="false" customHeight="true" outlineLevel="0" collapsed="false"/>
    <row r="533" customFormat="false" ht="12" hidden="false" customHeight="true" outlineLevel="0" collapsed="false"/>
    <row r="534" customFormat="false" ht="12" hidden="false" customHeight="true" outlineLevel="0" collapsed="false"/>
    <row r="535" customFormat="false" ht="12" hidden="false" customHeight="true" outlineLevel="0" collapsed="false"/>
    <row r="536" customFormat="false" ht="12" hidden="false" customHeight="true" outlineLevel="0" collapsed="false"/>
    <row r="537" customFormat="false" ht="12" hidden="false" customHeight="true" outlineLevel="0" collapsed="false"/>
    <row r="538" customFormat="false" ht="12" hidden="false" customHeight="true" outlineLevel="0" collapsed="false"/>
    <row r="539" customFormat="false" ht="12" hidden="false" customHeight="true" outlineLevel="0" collapsed="false"/>
    <row r="540" customFormat="false" ht="12" hidden="false" customHeight="true" outlineLevel="0" collapsed="false"/>
    <row r="541" customFormat="false" ht="12" hidden="false" customHeight="true" outlineLevel="0" collapsed="false"/>
    <row r="542" customFormat="false" ht="12" hidden="false" customHeight="true" outlineLevel="0" collapsed="false"/>
    <row r="543" customFormat="false" ht="12" hidden="false" customHeight="true" outlineLevel="0" collapsed="false"/>
    <row r="544" customFormat="false" ht="12" hidden="false" customHeight="true" outlineLevel="0" collapsed="false"/>
    <row r="545" customFormat="false" ht="12" hidden="false" customHeight="true" outlineLevel="0" collapsed="false"/>
    <row r="546" customFormat="false" ht="12" hidden="false" customHeight="true" outlineLevel="0" collapsed="false"/>
    <row r="547" customFormat="false" ht="12" hidden="false" customHeight="true" outlineLevel="0" collapsed="false"/>
    <row r="548" customFormat="false" ht="12" hidden="false" customHeight="true" outlineLevel="0" collapsed="false"/>
    <row r="549" customFormat="false" ht="12" hidden="false" customHeight="true" outlineLevel="0" collapsed="false"/>
    <row r="550" customFormat="false" ht="12" hidden="false" customHeight="true" outlineLevel="0" collapsed="false"/>
    <row r="551" customFormat="false" ht="12" hidden="false" customHeight="true" outlineLevel="0" collapsed="false"/>
    <row r="552" customFormat="false" ht="12" hidden="false" customHeight="true" outlineLevel="0" collapsed="false"/>
    <row r="553" customFormat="false" ht="12" hidden="false" customHeight="true" outlineLevel="0" collapsed="false"/>
    <row r="554" customFormat="false" ht="12" hidden="false" customHeight="true" outlineLevel="0" collapsed="false"/>
    <row r="555" customFormat="false" ht="12" hidden="false" customHeight="true" outlineLevel="0" collapsed="false"/>
    <row r="556" customFormat="false" ht="12" hidden="false" customHeight="true" outlineLevel="0" collapsed="false"/>
    <row r="557" customFormat="false" ht="12" hidden="false" customHeight="true" outlineLevel="0" collapsed="false"/>
    <row r="558" customFormat="false" ht="12" hidden="false" customHeight="true" outlineLevel="0" collapsed="false"/>
    <row r="559" customFormat="false" ht="12" hidden="false" customHeight="true" outlineLevel="0" collapsed="false"/>
    <row r="560" customFormat="false" ht="12" hidden="false" customHeight="true" outlineLevel="0" collapsed="false"/>
    <row r="561" customFormat="false" ht="12" hidden="false" customHeight="true" outlineLevel="0" collapsed="false"/>
    <row r="562" customFormat="false" ht="12" hidden="false" customHeight="true" outlineLevel="0" collapsed="false"/>
    <row r="563" customFormat="false" ht="12" hidden="false" customHeight="true" outlineLevel="0" collapsed="false"/>
    <row r="564" customFormat="false" ht="12" hidden="false" customHeight="true" outlineLevel="0" collapsed="false"/>
    <row r="565" customFormat="false" ht="12" hidden="false" customHeight="true" outlineLevel="0" collapsed="false"/>
    <row r="566" customFormat="false" ht="12" hidden="false" customHeight="true" outlineLevel="0" collapsed="false"/>
    <row r="567" customFormat="false" ht="12" hidden="false" customHeight="true" outlineLevel="0" collapsed="false"/>
    <row r="568" customFormat="false" ht="12" hidden="false" customHeight="true" outlineLevel="0" collapsed="false"/>
    <row r="569" customFormat="false" ht="12" hidden="false" customHeight="true" outlineLevel="0" collapsed="false"/>
    <row r="570" customFormat="false" ht="12" hidden="false" customHeight="true" outlineLevel="0" collapsed="false"/>
    <row r="571" customFormat="false" ht="12" hidden="false" customHeight="true" outlineLevel="0" collapsed="false"/>
    <row r="572" customFormat="false" ht="12" hidden="false" customHeight="true" outlineLevel="0" collapsed="false"/>
    <row r="573" customFormat="false" ht="12" hidden="false" customHeight="true" outlineLevel="0" collapsed="false"/>
    <row r="574" customFormat="false" ht="12" hidden="false" customHeight="true" outlineLevel="0" collapsed="false"/>
    <row r="575" customFormat="false" ht="12" hidden="false" customHeight="true" outlineLevel="0" collapsed="false"/>
    <row r="576" customFormat="false" ht="12" hidden="false" customHeight="true" outlineLevel="0" collapsed="false"/>
    <row r="577" customFormat="false" ht="12" hidden="false" customHeight="true" outlineLevel="0" collapsed="false"/>
    <row r="578" customFormat="false" ht="12" hidden="false" customHeight="true" outlineLevel="0" collapsed="false"/>
    <row r="579" customFormat="false" ht="12" hidden="false" customHeight="true" outlineLevel="0" collapsed="false"/>
    <row r="580" customFormat="false" ht="12" hidden="false" customHeight="true" outlineLevel="0" collapsed="false"/>
    <row r="581" customFormat="false" ht="12" hidden="false" customHeight="true" outlineLevel="0" collapsed="false"/>
    <row r="582" customFormat="false" ht="12" hidden="false" customHeight="true" outlineLevel="0" collapsed="false"/>
    <row r="583" customFormat="false" ht="12" hidden="false" customHeight="true" outlineLevel="0" collapsed="false"/>
    <row r="584" customFormat="false" ht="12" hidden="false" customHeight="true" outlineLevel="0" collapsed="false"/>
    <row r="585" customFormat="false" ht="12" hidden="false" customHeight="true" outlineLevel="0" collapsed="false"/>
    <row r="586" customFormat="false" ht="12" hidden="false" customHeight="true" outlineLevel="0" collapsed="false"/>
    <row r="587" customFormat="false" ht="12" hidden="false" customHeight="true" outlineLevel="0" collapsed="false"/>
    <row r="588" customFormat="false" ht="12" hidden="false" customHeight="true" outlineLevel="0" collapsed="false"/>
    <row r="589" customFormat="false" ht="12" hidden="false" customHeight="true" outlineLevel="0" collapsed="false"/>
    <row r="590" customFormat="false" ht="12" hidden="false" customHeight="true" outlineLevel="0" collapsed="false"/>
    <row r="591" customFormat="false" ht="12" hidden="false" customHeight="true" outlineLevel="0" collapsed="false"/>
    <row r="592" customFormat="false" ht="12" hidden="false" customHeight="true" outlineLevel="0" collapsed="false"/>
    <row r="593" customFormat="false" ht="12" hidden="false" customHeight="true" outlineLevel="0" collapsed="false"/>
    <row r="594" customFormat="false" ht="12" hidden="false" customHeight="true" outlineLevel="0" collapsed="false"/>
    <row r="595" customFormat="false" ht="12" hidden="false" customHeight="true" outlineLevel="0" collapsed="false"/>
    <row r="596" customFormat="false" ht="12" hidden="false" customHeight="true" outlineLevel="0" collapsed="false"/>
    <row r="597" customFormat="false" ht="12" hidden="false" customHeight="true" outlineLevel="0" collapsed="false"/>
    <row r="598" customFormat="false" ht="12" hidden="false" customHeight="true" outlineLevel="0" collapsed="false"/>
    <row r="599" customFormat="false" ht="12" hidden="false" customHeight="true" outlineLevel="0" collapsed="false"/>
    <row r="600" customFormat="false" ht="12" hidden="false" customHeight="true" outlineLevel="0" collapsed="false"/>
    <row r="601" customFormat="false" ht="12" hidden="false" customHeight="true" outlineLevel="0" collapsed="false"/>
    <row r="602" customFormat="false" ht="12" hidden="false" customHeight="true" outlineLevel="0" collapsed="false"/>
    <row r="603" customFormat="false" ht="12" hidden="false" customHeight="true" outlineLevel="0" collapsed="false"/>
    <row r="604" customFormat="false" ht="12" hidden="false" customHeight="true" outlineLevel="0" collapsed="false"/>
    <row r="605" customFormat="false" ht="12" hidden="false" customHeight="true" outlineLevel="0" collapsed="false"/>
    <row r="606" customFormat="false" ht="12" hidden="false" customHeight="true" outlineLevel="0" collapsed="false"/>
    <row r="607" customFormat="false" ht="12" hidden="false" customHeight="true" outlineLevel="0" collapsed="false"/>
    <row r="608" customFormat="false" ht="12" hidden="false" customHeight="true" outlineLevel="0" collapsed="false"/>
    <row r="609" customFormat="false" ht="12" hidden="false" customHeight="true" outlineLevel="0" collapsed="false"/>
    <row r="610" customFormat="false" ht="12" hidden="false" customHeight="true" outlineLevel="0" collapsed="false"/>
    <row r="611" customFormat="false" ht="12" hidden="false" customHeight="true" outlineLevel="0" collapsed="false"/>
    <row r="612" customFormat="false" ht="12" hidden="false" customHeight="true" outlineLevel="0" collapsed="false"/>
    <row r="613" customFormat="false" ht="12" hidden="false" customHeight="true" outlineLevel="0" collapsed="false"/>
    <row r="614" customFormat="false" ht="12" hidden="false" customHeight="true" outlineLevel="0" collapsed="false"/>
    <row r="615" customFormat="false" ht="12" hidden="false" customHeight="true" outlineLevel="0" collapsed="false"/>
    <row r="616" customFormat="false" ht="12" hidden="false" customHeight="true" outlineLevel="0" collapsed="false"/>
    <row r="617" customFormat="false" ht="12" hidden="false" customHeight="true" outlineLevel="0" collapsed="false"/>
    <row r="618" customFormat="false" ht="12" hidden="false" customHeight="true" outlineLevel="0" collapsed="false"/>
    <row r="619" customFormat="false" ht="12" hidden="false" customHeight="true" outlineLevel="0" collapsed="false"/>
    <row r="620" customFormat="false" ht="12" hidden="false" customHeight="true" outlineLevel="0" collapsed="false"/>
    <row r="621" customFormat="false" ht="12" hidden="false" customHeight="true" outlineLevel="0" collapsed="false"/>
    <row r="622" customFormat="false" ht="12" hidden="false" customHeight="true" outlineLevel="0" collapsed="false"/>
    <row r="623" customFormat="false" ht="12" hidden="false" customHeight="true" outlineLevel="0" collapsed="false"/>
    <row r="624" customFormat="false" ht="12" hidden="false" customHeight="true" outlineLevel="0" collapsed="false"/>
    <row r="625" customFormat="false" ht="12" hidden="false" customHeight="true" outlineLevel="0" collapsed="false"/>
    <row r="626" customFormat="false" ht="12" hidden="false" customHeight="true" outlineLevel="0" collapsed="false"/>
    <row r="627" customFormat="false" ht="12" hidden="false" customHeight="true" outlineLevel="0" collapsed="false"/>
    <row r="628" customFormat="false" ht="12" hidden="false" customHeight="true" outlineLevel="0" collapsed="false"/>
    <row r="629" customFormat="false" ht="12" hidden="false" customHeight="true" outlineLevel="0" collapsed="false"/>
    <row r="630" customFormat="false" ht="12" hidden="false" customHeight="true" outlineLevel="0" collapsed="false"/>
    <row r="631" customFormat="false" ht="12" hidden="false" customHeight="true" outlineLevel="0" collapsed="false"/>
    <row r="632" customFormat="false" ht="12" hidden="false" customHeight="true" outlineLevel="0" collapsed="false"/>
    <row r="633" customFormat="false" ht="12" hidden="false" customHeight="true" outlineLevel="0" collapsed="false"/>
    <row r="634" customFormat="false" ht="12" hidden="false" customHeight="true" outlineLevel="0" collapsed="false"/>
    <row r="635" customFormat="false" ht="12" hidden="false" customHeight="true" outlineLevel="0" collapsed="false"/>
    <row r="636" customFormat="false" ht="12" hidden="false" customHeight="true" outlineLevel="0" collapsed="false"/>
    <row r="637" customFormat="false" ht="12" hidden="false" customHeight="true" outlineLevel="0" collapsed="false"/>
    <row r="638" customFormat="false" ht="12" hidden="false" customHeight="true" outlineLevel="0" collapsed="false"/>
    <row r="639" customFormat="false" ht="12" hidden="false" customHeight="true" outlineLevel="0" collapsed="false"/>
    <row r="640" customFormat="false" ht="12" hidden="false" customHeight="true" outlineLevel="0" collapsed="false"/>
    <row r="641" customFormat="false" ht="12" hidden="false" customHeight="true" outlineLevel="0" collapsed="false"/>
    <row r="642" customFormat="false" ht="12" hidden="false" customHeight="true" outlineLevel="0" collapsed="false"/>
    <row r="643" customFormat="false" ht="12" hidden="false" customHeight="true" outlineLevel="0" collapsed="false"/>
    <row r="644" customFormat="false" ht="12" hidden="false" customHeight="true" outlineLevel="0" collapsed="false"/>
    <row r="645" customFormat="false" ht="12" hidden="false" customHeight="true" outlineLevel="0" collapsed="false"/>
    <row r="646" customFormat="false" ht="12" hidden="false" customHeight="true" outlineLevel="0" collapsed="false"/>
    <row r="647" customFormat="false" ht="12" hidden="false" customHeight="true" outlineLevel="0" collapsed="false"/>
    <row r="648" customFormat="false" ht="12" hidden="false" customHeight="true" outlineLevel="0" collapsed="false"/>
    <row r="649" customFormat="false" ht="12" hidden="false" customHeight="true" outlineLevel="0" collapsed="false"/>
    <row r="650" customFormat="false" ht="12" hidden="false" customHeight="true" outlineLevel="0" collapsed="false"/>
    <row r="651" customFormat="false" ht="12" hidden="false" customHeight="true" outlineLevel="0" collapsed="false"/>
    <row r="652" customFormat="false" ht="12" hidden="false" customHeight="true" outlineLevel="0" collapsed="false"/>
    <row r="653" customFormat="false" ht="12" hidden="false" customHeight="true" outlineLevel="0" collapsed="false"/>
    <row r="654" customFormat="false" ht="12" hidden="false" customHeight="true" outlineLevel="0" collapsed="false"/>
    <row r="655" customFormat="false" ht="12" hidden="false" customHeight="true" outlineLevel="0" collapsed="false"/>
    <row r="656" customFormat="false" ht="12" hidden="false" customHeight="true" outlineLevel="0" collapsed="false"/>
    <row r="657" customFormat="false" ht="12" hidden="false" customHeight="true" outlineLevel="0" collapsed="false"/>
    <row r="658" customFormat="false" ht="12" hidden="false" customHeight="true" outlineLevel="0" collapsed="false"/>
    <row r="659" customFormat="false" ht="12" hidden="false" customHeight="true" outlineLevel="0" collapsed="false"/>
    <row r="660" customFormat="false" ht="12" hidden="false" customHeight="true" outlineLevel="0" collapsed="false"/>
    <row r="661" customFormat="false" ht="12" hidden="false" customHeight="true" outlineLevel="0" collapsed="false"/>
    <row r="662" customFormat="false" ht="12" hidden="false" customHeight="true" outlineLevel="0" collapsed="false"/>
    <row r="663" customFormat="false" ht="12" hidden="false" customHeight="true" outlineLevel="0" collapsed="false"/>
    <row r="664" customFormat="false" ht="12" hidden="false" customHeight="true" outlineLevel="0" collapsed="false"/>
    <row r="665" customFormat="false" ht="12" hidden="false" customHeight="true" outlineLevel="0" collapsed="false"/>
    <row r="666" customFormat="false" ht="12" hidden="false" customHeight="true" outlineLevel="0" collapsed="false"/>
    <row r="667" customFormat="false" ht="12" hidden="false" customHeight="true" outlineLevel="0" collapsed="false"/>
    <row r="668" customFormat="false" ht="12" hidden="false" customHeight="true" outlineLevel="0" collapsed="false"/>
    <row r="669" customFormat="false" ht="12" hidden="false" customHeight="true" outlineLevel="0" collapsed="false"/>
    <row r="670" customFormat="false" ht="12" hidden="false" customHeight="true" outlineLevel="0" collapsed="false"/>
    <row r="671" customFormat="false" ht="12" hidden="false" customHeight="true" outlineLevel="0" collapsed="false"/>
    <row r="672" customFormat="false" ht="12" hidden="false" customHeight="true" outlineLevel="0" collapsed="false"/>
    <row r="673" customFormat="false" ht="12" hidden="false" customHeight="true" outlineLevel="0" collapsed="false"/>
    <row r="674" customFormat="false" ht="12" hidden="false" customHeight="true" outlineLevel="0" collapsed="false"/>
    <row r="675" customFormat="false" ht="12" hidden="false" customHeight="true" outlineLevel="0" collapsed="false"/>
    <row r="676" customFormat="false" ht="12" hidden="false" customHeight="true" outlineLevel="0" collapsed="false"/>
    <row r="677" customFormat="false" ht="12" hidden="false" customHeight="true" outlineLevel="0" collapsed="false"/>
    <row r="678" customFormat="false" ht="12" hidden="false" customHeight="true" outlineLevel="0" collapsed="false"/>
    <row r="679" customFormat="false" ht="12" hidden="false" customHeight="true" outlineLevel="0" collapsed="false"/>
    <row r="680" customFormat="false" ht="12" hidden="false" customHeight="true" outlineLevel="0" collapsed="false"/>
    <row r="681" customFormat="false" ht="12" hidden="false" customHeight="true" outlineLevel="0" collapsed="false"/>
    <row r="682" customFormat="false" ht="12" hidden="false" customHeight="true" outlineLevel="0" collapsed="false"/>
    <row r="683" customFormat="false" ht="12" hidden="false" customHeight="true" outlineLevel="0" collapsed="false"/>
    <row r="684" customFormat="false" ht="12" hidden="false" customHeight="true" outlineLevel="0" collapsed="false"/>
    <row r="685" customFormat="false" ht="12" hidden="false" customHeight="true" outlineLevel="0" collapsed="false"/>
    <row r="686" customFormat="false" ht="12" hidden="false" customHeight="true" outlineLevel="0" collapsed="false"/>
    <row r="687" customFormat="false" ht="12" hidden="false" customHeight="true" outlineLevel="0" collapsed="false"/>
    <row r="688" customFormat="false" ht="12" hidden="false" customHeight="true" outlineLevel="0" collapsed="false"/>
    <row r="689" customFormat="false" ht="12" hidden="false" customHeight="true" outlineLevel="0" collapsed="false"/>
    <row r="690" customFormat="false" ht="12" hidden="false" customHeight="true" outlineLevel="0" collapsed="false"/>
    <row r="691" customFormat="false" ht="12" hidden="false" customHeight="true" outlineLevel="0" collapsed="false"/>
    <row r="692" customFormat="false" ht="12" hidden="false" customHeight="true" outlineLevel="0" collapsed="false"/>
    <row r="693" customFormat="false" ht="12" hidden="false" customHeight="true" outlineLevel="0" collapsed="false"/>
    <row r="694" customFormat="false" ht="12" hidden="false" customHeight="true" outlineLevel="0" collapsed="false"/>
    <row r="695" customFormat="false" ht="12" hidden="false" customHeight="true" outlineLevel="0" collapsed="false"/>
    <row r="696" customFormat="false" ht="12" hidden="false" customHeight="true" outlineLevel="0" collapsed="false"/>
    <row r="697" customFormat="false" ht="12" hidden="false" customHeight="true" outlineLevel="0" collapsed="false"/>
    <row r="698" customFormat="false" ht="12" hidden="false" customHeight="true" outlineLevel="0" collapsed="false"/>
    <row r="699" customFormat="false" ht="12" hidden="false" customHeight="true" outlineLevel="0" collapsed="false"/>
    <row r="700" customFormat="false" ht="12" hidden="false" customHeight="true" outlineLevel="0" collapsed="false"/>
    <row r="701" customFormat="false" ht="12" hidden="false" customHeight="true" outlineLevel="0" collapsed="false"/>
    <row r="702" customFormat="false" ht="12" hidden="false" customHeight="true" outlineLevel="0" collapsed="false"/>
    <row r="703" customFormat="false" ht="12" hidden="false" customHeight="true" outlineLevel="0" collapsed="false"/>
    <row r="704" customFormat="false" ht="12" hidden="false" customHeight="true" outlineLevel="0" collapsed="false"/>
    <row r="705" customFormat="false" ht="12" hidden="false" customHeight="true" outlineLevel="0" collapsed="false"/>
    <row r="706" customFormat="false" ht="12" hidden="false" customHeight="true" outlineLevel="0" collapsed="false"/>
    <row r="707" customFormat="false" ht="12" hidden="false" customHeight="true" outlineLevel="0" collapsed="false"/>
    <row r="708" customFormat="false" ht="12" hidden="false" customHeight="true" outlineLevel="0" collapsed="false"/>
    <row r="709" customFormat="false" ht="12" hidden="false" customHeight="true" outlineLevel="0" collapsed="false"/>
    <row r="710" customFormat="false" ht="12" hidden="false" customHeight="true" outlineLevel="0" collapsed="false"/>
    <row r="711" customFormat="false" ht="12" hidden="false" customHeight="true" outlineLevel="0" collapsed="false"/>
    <row r="712" customFormat="false" ht="12" hidden="false" customHeight="true" outlineLevel="0" collapsed="false"/>
    <row r="713" customFormat="false" ht="12" hidden="false" customHeight="true" outlineLevel="0" collapsed="false"/>
    <row r="714" customFormat="false" ht="12" hidden="false" customHeight="true" outlineLevel="0" collapsed="false"/>
    <row r="715" customFormat="false" ht="12" hidden="false" customHeight="true" outlineLevel="0" collapsed="false"/>
    <row r="716" customFormat="false" ht="12" hidden="false" customHeight="true" outlineLevel="0" collapsed="false"/>
    <row r="717" customFormat="false" ht="12" hidden="false" customHeight="true" outlineLevel="0" collapsed="false"/>
    <row r="718" customFormat="false" ht="12" hidden="false" customHeight="true" outlineLevel="0" collapsed="false"/>
    <row r="719" customFormat="false" ht="12" hidden="false" customHeight="true" outlineLevel="0" collapsed="false"/>
    <row r="720" customFormat="false" ht="12" hidden="false" customHeight="true" outlineLevel="0" collapsed="false"/>
    <row r="721" customFormat="false" ht="12" hidden="false" customHeight="true" outlineLevel="0" collapsed="false"/>
    <row r="722" customFormat="false" ht="12" hidden="false" customHeight="true" outlineLevel="0" collapsed="false"/>
    <row r="723" customFormat="false" ht="12" hidden="false" customHeight="true" outlineLevel="0" collapsed="false"/>
    <row r="724" customFormat="false" ht="12" hidden="false" customHeight="true" outlineLevel="0" collapsed="false"/>
    <row r="725" customFormat="false" ht="12" hidden="false" customHeight="true" outlineLevel="0" collapsed="false"/>
    <row r="726" customFormat="false" ht="12" hidden="false" customHeight="true" outlineLevel="0" collapsed="false"/>
    <row r="727" customFormat="false" ht="12" hidden="false" customHeight="true" outlineLevel="0" collapsed="false"/>
    <row r="728" customFormat="false" ht="12" hidden="false" customHeight="true" outlineLevel="0" collapsed="false"/>
    <row r="729" customFormat="false" ht="12" hidden="false" customHeight="true" outlineLevel="0" collapsed="false"/>
    <row r="730" customFormat="false" ht="12" hidden="false" customHeight="true" outlineLevel="0" collapsed="false"/>
    <row r="731" customFormat="false" ht="12" hidden="false" customHeight="true" outlineLevel="0" collapsed="false"/>
    <row r="732" customFormat="false" ht="12" hidden="false" customHeight="true" outlineLevel="0" collapsed="false"/>
    <row r="733" customFormat="false" ht="12" hidden="false" customHeight="true" outlineLevel="0" collapsed="false"/>
    <row r="734" customFormat="false" ht="12" hidden="false" customHeight="true" outlineLevel="0" collapsed="false"/>
    <row r="735" customFormat="false" ht="12" hidden="false" customHeight="true" outlineLevel="0" collapsed="false"/>
    <row r="736" customFormat="false" ht="12" hidden="false" customHeight="true" outlineLevel="0" collapsed="false"/>
    <row r="737" customFormat="false" ht="12" hidden="false" customHeight="true" outlineLevel="0" collapsed="false"/>
    <row r="738" customFormat="false" ht="12" hidden="false" customHeight="true" outlineLevel="0" collapsed="false"/>
    <row r="739" customFormat="false" ht="12" hidden="false" customHeight="true" outlineLevel="0" collapsed="false"/>
    <row r="740" customFormat="false" ht="12" hidden="false" customHeight="true" outlineLevel="0" collapsed="false"/>
    <row r="741" customFormat="false" ht="12" hidden="false" customHeight="true" outlineLevel="0" collapsed="false"/>
    <row r="742" customFormat="false" ht="12" hidden="false" customHeight="true" outlineLevel="0" collapsed="false"/>
    <row r="743" customFormat="false" ht="12" hidden="false" customHeight="true" outlineLevel="0" collapsed="false"/>
    <row r="744" customFormat="false" ht="12" hidden="false" customHeight="true" outlineLevel="0" collapsed="false"/>
    <row r="745" customFormat="false" ht="12" hidden="false" customHeight="true" outlineLevel="0" collapsed="false"/>
    <row r="746" customFormat="false" ht="12" hidden="false" customHeight="true" outlineLevel="0" collapsed="false"/>
    <row r="747" customFormat="false" ht="12" hidden="false" customHeight="true" outlineLevel="0" collapsed="false"/>
    <row r="748" customFormat="false" ht="12" hidden="false" customHeight="true" outlineLevel="0" collapsed="false"/>
    <row r="749" customFormat="false" ht="12" hidden="false" customHeight="true" outlineLevel="0" collapsed="false"/>
    <row r="750" customFormat="false" ht="12" hidden="false" customHeight="true" outlineLevel="0" collapsed="false"/>
    <row r="751" customFormat="false" ht="12" hidden="false" customHeight="true" outlineLevel="0" collapsed="false"/>
    <row r="752" customFormat="false" ht="12" hidden="false" customHeight="true" outlineLevel="0" collapsed="false"/>
    <row r="753" customFormat="false" ht="12" hidden="false" customHeight="true" outlineLevel="0" collapsed="false"/>
    <row r="754" customFormat="false" ht="12" hidden="false" customHeight="true" outlineLevel="0" collapsed="false"/>
    <row r="755" customFormat="false" ht="12" hidden="false" customHeight="true" outlineLevel="0" collapsed="false"/>
    <row r="756" customFormat="false" ht="12" hidden="false" customHeight="true" outlineLevel="0" collapsed="false"/>
    <row r="757" customFormat="false" ht="12" hidden="false" customHeight="true" outlineLevel="0" collapsed="false"/>
    <row r="758" customFormat="false" ht="12" hidden="false" customHeight="true" outlineLevel="0" collapsed="false"/>
    <row r="759" customFormat="false" ht="12" hidden="false" customHeight="true" outlineLevel="0" collapsed="false"/>
    <row r="760" customFormat="false" ht="12" hidden="false" customHeight="true" outlineLevel="0" collapsed="false"/>
    <row r="761" customFormat="false" ht="12" hidden="false" customHeight="true" outlineLevel="0" collapsed="false"/>
    <row r="762" customFormat="false" ht="12" hidden="false" customHeight="true" outlineLevel="0" collapsed="false"/>
    <row r="763" customFormat="false" ht="12" hidden="false" customHeight="true" outlineLevel="0" collapsed="false"/>
    <row r="764" customFormat="false" ht="12" hidden="false" customHeight="true" outlineLevel="0" collapsed="false"/>
    <row r="765" customFormat="false" ht="12" hidden="false" customHeight="true" outlineLevel="0" collapsed="false"/>
    <row r="766" customFormat="false" ht="12" hidden="false" customHeight="true" outlineLevel="0" collapsed="false"/>
    <row r="767" customFormat="false" ht="12" hidden="false" customHeight="true" outlineLevel="0" collapsed="false"/>
    <row r="768" customFormat="false" ht="12" hidden="false" customHeight="true" outlineLevel="0" collapsed="false"/>
    <row r="769" customFormat="false" ht="12" hidden="false" customHeight="true" outlineLevel="0" collapsed="false"/>
    <row r="770" customFormat="false" ht="12" hidden="false" customHeight="true" outlineLevel="0" collapsed="false"/>
    <row r="771" customFormat="false" ht="12" hidden="false" customHeight="true" outlineLevel="0" collapsed="false"/>
    <row r="772" customFormat="false" ht="12" hidden="false" customHeight="true" outlineLevel="0" collapsed="false"/>
    <row r="773" customFormat="false" ht="12" hidden="false" customHeight="true" outlineLevel="0" collapsed="false"/>
    <row r="774" customFormat="false" ht="12" hidden="false" customHeight="true" outlineLevel="0" collapsed="false"/>
    <row r="775" customFormat="false" ht="12" hidden="false" customHeight="true" outlineLevel="0" collapsed="false"/>
    <row r="776" customFormat="false" ht="12" hidden="false" customHeight="true" outlineLevel="0" collapsed="false"/>
    <row r="777" customFormat="false" ht="12" hidden="false" customHeight="true" outlineLevel="0" collapsed="false"/>
    <row r="778" customFormat="false" ht="12" hidden="false" customHeight="true" outlineLevel="0" collapsed="false"/>
    <row r="779" customFormat="false" ht="12" hidden="false" customHeight="true" outlineLevel="0" collapsed="false"/>
    <row r="780" customFormat="false" ht="12" hidden="false" customHeight="true" outlineLevel="0" collapsed="false"/>
    <row r="781" customFormat="false" ht="12" hidden="false" customHeight="true" outlineLevel="0" collapsed="false"/>
    <row r="782" customFormat="false" ht="12" hidden="false" customHeight="true" outlineLevel="0" collapsed="false"/>
    <row r="783" customFormat="false" ht="12" hidden="false" customHeight="true" outlineLevel="0" collapsed="false"/>
    <row r="784" customFormat="false" ht="12" hidden="false" customHeight="true" outlineLevel="0" collapsed="false"/>
    <row r="785" customFormat="false" ht="12" hidden="false" customHeight="true" outlineLevel="0" collapsed="false"/>
    <row r="786" customFormat="false" ht="12" hidden="false" customHeight="true" outlineLevel="0" collapsed="false"/>
    <row r="787" customFormat="false" ht="12" hidden="false" customHeight="true" outlineLevel="0" collapsed="false"/>
    <row r="788" customFormat="false" ht="12" hidden="false" customHeight="true" outlineLevel="0" collapsed="false"/>
    <row r="789" customFormat="false" ht="12" hidden="false" customHeight="true" outlineLevel="0" collapsed="false"/>
    <row r="790" customFormat="false" ht="12" hidden="false" customHeight="true" outlineLevel="0" collapsed="false"/>
    <row r="791" customFormat="false" ht="12" hidden="false" customHeight="true" outlineLevel="0" collapsed="false"/>
    <row r="792" customFormat="false" ht="12" hidden="false" customHeight="true" outlineLevel="0" collapsed="false"/>
    <row r="793" customFormat="false" ht="12" hidden="false" customHeight="true" outlineLevel="0" collapsed="false"/>
    <row r="794" customFormat="false" ht="12" hidden="false" customHeight="true" outlineLevel="0" collapsed="false"/>
    <row r="795" customFormat="false" ht="12" hidden="false" customHeight="true" outlineLevel="0" collapsed="false"/>
    <row r="796" customFormat="false" ht="12" hidden="false" customHeight="true" outlineLevel="0" collapsed="false"/>
    <row r="797" customFormat="false" ht="12" hidden="false" customHeight="true" outlineLevel="0" collapsed="false"/>
    <row r="798" customFormat="false" ht="12" hidden="false" customHeight="true" outlineLevel="0" collapsed="false"/>
    <row r="799" customFormat="false" ht="12" hidden="false" customHeight="true" outlineLevel="0" collapsed="false"/>
    <row r="800" customFormat="false" ht="12" hidden="false" customHeight="true" outlineLevel="0" collapsed="false"/>
    <row r="801" customFormat="false" ht="12" hidden="false" customHeight="true" outlineLevel="0" collapsed="false"/>
    <row r="802" customFormat="false" ht="12" hidden="false" customHeight="true" outlineLevel="0" collapsed="false"/>
    <row r="803" customFormat="false" ht="12" hidden="false" customHeight="true" outlineLevel="0" collapsed="false"/>
    <row r="804" customFormat="false" ht="12" hidden="false" customHeight="true" outlineLevel="0" collapsed="false"/>
    <row r="805" customFormat="false" ht="12" hidden="false" customHeight="true" outlineLevel="0" collapsed="false"/>
    <row r="806" customFormat="false" ht="12" hidden="false" customHeight="true" outlineLevel="0" collapsed="false"/>
    <row r="807" customFormat="false" ht="12" hidden="false" customHeight="true" outlineLevel="0" collapsed="false"/>
    <row r="808" customFormat="false" ht="12" hidden="false" customHeight="true" outlineLevel="0" collapsed="false"/>
    <row r="809" customFormat="false" ht="12" hidden="false" customHeight="true" outlineLevel="0" collapsed="false"/>
    <row r="810" customFormat="false" ht="12" hidden="false" customHeight="true" outlineLevel="0" collapsed="false"/>
    <row r="811" customFormat="false" ht="12" hidden="false" customHeight="true" outlineLevel="0" collapsed="false"/>
    <row r="812" customFormat="false" ht="12" hidden="false" customHeight="true" outlineLevel="0" collapsed="false"/>
    <row r="813" customFormat="false" ht="12" hidden="false" customHeight="true" outlineLevel="0" collapsed="false"/>
    <row r="814" customFormat="false" ht="12" hidden="false" customHeight="true" outlineLevel="0" collapsed="false"/>
    <row r="815" customFormat="false" ht="12" hidden="false" customHeight="true" outlineLevel="0" collapsed="false"/>
    <row r="816" customFormat="false" ht="12" hidden="false" customHeight="true" outlineLevel="0" collapsed="false"/>
    <row r="817" customFormat="false" ht="12" hidden="false" customHeight="true" outlineLevel="0" collapsed="false"/>
    <row r="818" customFormat="false" ht="12" hidden="false" customHeight="true" outlineLevel="0" collapsed="false"/>
    <row r="819" customFormat="false" ht="12" hidden="false" customHeight="true" outlineLevel="0" collapsed="false"/>
    <row r="820" customFormat="false" ht="12" hidden="false" customHeight="true" outlineLevel="0" collapsed="false"/>
    <row r="821" customFormat="false" ht="12" hidden="false" customHeight="true" outlineLevel="0" collapsed="false"/>
    <row r="822" customFormat="false" ht="12" hidden="false" customHeight="true" outlineLevel="0" collapsed="false"/>
    <row r="823" customFormat="false" ht="12" hidden="false" customHeight="true" outlineLevel="0" collapsed="false"/>
    <row r="824" customFormat="false" ht="12" hidden="false" customHeight="true" outlineLevel="0" collapsed="false"/>
    <row r="825" customFormat="false" ht="12" hidden="false" customHeight="true" outlineLevel="0" collapsed="false"/>
    <row r="826" customFormat="false" ht="12" hidden="false" customHeight="true" outlineLevel="0" collapsed="false"/>
    <row r="827" customFormat="false" ht="12" hidden="false" customHeight="true" outlineLevel="0" collapsed="false"/>
    <row r="828" customFormat="false" ht="12" hidden="false" customHeight="true" outlineLevel="0" collapsed="false"/>
    <row r="829" customFormat="false" ht="12" hidden="false" customHeight="true" outlineLevel="0" collapsed="false"/>
    <row r="830" customFormat="false" ht="12" hidden="false" customHeight="true" outlineLevel="0" collapsed="false"/>
    <row r="831" customFormat="false" ht="12" hidden="false" customHeight="true" outlineLevel="0" collapsed="false"/>
    <row r="832" customFormat="false" ht="12" hidden="false" customHeight="true" outlineLevel="0" collapsed="false"/>
    <row r="833" customFormat="false" ht="12" hidden="false" customHeight="true" outlineLevel="0" collapsed="false"/>
    <row r="834" customFormat="false" ht="12" hidden="false" customHeight="true" outlineLevel="0" collapsed="false"/>
    <row r="835" customFormat="false" ht="12" hidden="false" customHeight="true" outlineLevel="0" collapsed="false"/>
    <row r="836" customFormat="false" ht="12" hidden="false" customHeight="true" outlineLevel="0" collapsed="false"/>
    <row r="837" customFormat="false" ht="12" hidden="false" customHeight="true" outlineLevel="0" collapsed="false"/>
    <row r="838" customFormat="false" ht="12" hidden="false" customHeight="true" outlineLevel="0" collapsed="false"/>
    <row r="839" customFormat="false" ht="12" hidden="false" customHeight="true" outlineLevel="0" collapsed="false"/>
    <row r="840" customFormat="false" ht="12" hidden="false" customHeight="true" outlineLevel="0" collapsed="false"/>
    <row r="841" customFormat="false" ht="12" hidden="false" customHeight="true" outlineLevel="0" collapsed="false"/>
    <row r="842" customFormat="false" ht="12" hidden="false" customHeight="true" outlineLevel="0" collapsed="false"/>
    <row r="843" customFormat="false" ht="12" hidden="false" customHeight="true" outlineLevel="0" collapsed="false"/>
    <row r="844" customFormat="false" ht="12" hidden="false" customHeight="true" outlineLevel="0" collapsed="false"/>
    <row r="845" customFormat="false" ht="12" hidden="false" customHeight="true" outlineLevel="0" collapsed="false"/>
    <row r="846" customFormat="false" ht="12" hidden="false" customHeight="true" outlineLevel="0" collapsed="false"/>
    <row r="847" customFormat="false" ht="12" hidden="false" customHeight="true" outlineLevel="0" collapsed="false"/>
    <row r="848" customFormat="false" ht="12" hidden="false" customHeight="true" outlineLevel="0" collapsed="false"/>
    <row r="849" customFormat="false" ht="12" hidden="false" customHeight="true" outlineLevel="0" collapsed="false"/>
    <row r="850" customFormat="false" ht="12" hidden="false" customHeight="true" outlineLevel="0" collapsed="false"/>
    <row r="851" customFormat="false" ht="12" hidden="false" customHeight="true" outlineLevel="0" collapsed="false"/>
    <row r="852" customFormat="false" ht="12" hidden="false" customHeight="true" outlineLevel="0" collapsed="false"/>
    <row r="853" customFormat="false" ht="12" hidden="false" customHeight="true" outlineLevel="0" collapsed="false"/>
    <row r="854" customFormat="false" ht="12" hidden="false" customHeight="true" outlineLevel="0" collapsed="false"/>
    <row r="855" customFormat="false" ht="12" hidden="false" customHeight="true" outlineLevel="0" collapsed="false"/>
    <row r="856" customFormat="false" ht="12" hidden="false" customHeight="true" outlineLevel="0" collapsed="false"/>
    <row r="857" customFormat="false" ht="12" hidden="false" customHeight="true" outlineLevel="0" collapsed="false"/>
    <row r="858" customFormat="false" ht="12" hidden="false" customHeight="true" outlineLevel="0" collapsed="false"/>
    <row r="859" customFormat="false" ht="12" hidden="false" customHeight="true" outlineLevel="0" collapsed="false"/>
    <row r="860" customFormat="false" ht="12" hidden="false" customHeight="true" outlineLevel="0" collapsed="false"/>
    <row r="861" customFormat="false" ht="12" hidden="false" customHeight="true" outlineLevel="0" collapsed="false"/>
    <row r="862" customFormat="false" ht="12" hidden="false" customHeight="true" outlineLevel="0" collapsed="false"/>
    <row r="863" customFormat="false" ht="12" hidden="false" customHeight="true" outlineLevel="0" collapsed="false"/>
    <row r="864" customFormat="false" ht="12" hidden="false" customHeight="true" outlineLevel="0" collapsed="false"/>
    <row r="865" customFormat="false" ht="12" hidden="false" customHeight="true" outlineLevel="0" collapsed="false"/>
    <row r="866" customFormat="false" ht="12" hidden="false" customHeight="true" outlineLevel="0" collapsed="false"/>
    <row r="867" customFormat="false" ht="12" hidden="false" customHeight="true" outlineLevel="0" collapsed="false"/>
    <row r="868" customFormat="false" ht="12" hidden="false" customHeight="true" outlineLevel="0" collapsed="false"/>
    <row r="869" customFormat="false" ht="12" hidden="false" customHeight="true" outlineLevel="0" collapsed="false"/>
    <row r="870" customFormat="false" ht="12" hidden="false" customHeight="true" outlineLevel="0" collapsed="false"/>
    <row r="871" customFormat="false" ht="12" hidden="false" customHeight="true" outlineLevel="0" collapsed="false"/>
    <row r="872" customFormat="false" ht="12" hidden="false" customHeight="true" outlineLevel="0" collapsed="false"/>
    <row r="873" customFormat="false" ht="12" hidden="false" customHeight="true" outlineLevel="0" collapsed="false"/>
    <row r="874" customFormat="false" ht="12" hidden="false" customHeight="true" outlineLevel="0" collapsed="false"/>
    <row r="875" customFormat="false" ht="12" hidden="false" customHeight="true" outlineLevel="0" collapsed="false"/>
    <row r="876" customFormat="false" ht="12" hidden="false" customHeight="true" outlineLevel="0" collapsed="false"/>
    <row r="877" customFormat="false" ht="12" hidden="false" customHeight="true" outlineLevel="0" collapsed="false"/>
    <row r="878" customFormat="false" ht="12" hidden="false" customHeight="true" outlineLevel="0" collapsed="false"/>
    <row r="879" customFormat="false" ht="12" hidden="false" customHeight="true" outlineLevel="0" collapsed="false"/>
    <row r="880" customFormat="false" ht="12" hidden="false" customHeight="true" outlineLevel="0" collapsed="false"/>
    <row r="881" customFormat="false" ht="12" hidden="false" customHeight="true" outlineLevel="0" collapsed="false"/>
    <row r="882" customFormat="false" ht="12" hidden="false" customHeight="true" outlineLevel="0" collapsed="false"/>
    <row r="883" customFormat="false" ht="12" hidden="false" customHeight="true" outlineLevel="0" collapsed="false"/>
    <row r="884" customFormat="false" ht="12" hidden="false" customHeight="true" outlineLevel="0" collapsed="false"/>
    <row r="885" customFormat="false" ht="12" hidden="false" customHeight="true" outlineLevel="0" collapsed="false"/>
    <row r="886" customFormat="false" ht="12" hidden="false" customHeight="true" outlineLevel="0" collapsed="false"/>
    <row r="887" customFormat="false" ht="12" hidden="false" customHeight="true" outlineLevel="0" collapsed="false"/>
    <row r="888" customFormat="false" ht="12" hidden="false" customHeight="true" outlineLevel="0" collapsed="false"/>
    <row r="889" customFormat="false" ht="12" hidden="false" customHeight="true" outlineLevel="0" collapsed="false"/>
    <row r="890" customFormat="false" ht="12" hidden="false" customHeight="true" outlineLevel="0" collapsed="false"/>
    <row r="891" customFormat="false" ht="12" hidden="false" customHeight="true" outlineLevel="0" collapsed="false"/>
    <row r="892" customFormat="false" ht="12" hidden="false" customHeight="true" outlineLevel="0" collapsed="false"/>
    <row r="893" customFormat="false" ht="12" hidden="false" customHeight="true" outlineLevel="0" collapsed="false"/>
    <row r="894" customFormat="false" ht="12" hidden="false" customHeight="true" outlineLevel="0" collapsed="false"/>
    <row r="895" customFormat="false" ht="12" hidden="false" customHeight="true" outlineLevel="0" collapsed="false"/>
    <row r="896" customFormat="false" ht="12" hidden="false" customHeight="true" outlineLevel="0" collapsed="false"/>
    <row r="897" customFormat="false" ht="12" hidden="false" customHeight="true" outlineLevel="0" collapsed="false"/>
    <row r="898" customFormat="false" ht="12" hidden="false" customHeight="true" outlineLevel="0" collapsed="false"/>
    <row r="899" customFormat="false" ht="12" hidden="false" customHeight="true" outlineLevel="0" collapsed="false"/>
    <row r="900" customFormat="false" ht="12" hidden="false" customHeight="true" outlineLevel="0" collapsed="false"/>
    <row r="901" customFormat="false" ht="12" hidden="false" customHeight="true" outlineLevel="0" collapsed="false"/>
    <row r="902" customFormat="false" ht="12" hidden="false" customHeight="true" outlineLevel="0" collapsed="false"/>
    <row r="903" customFormat="false" ht="12" hidden="false" customHeight="true" outlineLevel="0" collapsed="false"/>
    <row r="904" customFormat="false" ht="12" hidden="false" customHeight="true" outlineLevel="0" collapsed="false"/>
    <row r="905" customFormat="false" ht="12" hidden="false" customHeight="true" outlineLevel="0" collapsed="false"/>
    <row r="906" customFormat="false" ht="12" hidden="false" customHeight="true" outlineLevel="0" collapsed="false"/>
    <row r="907" customFormat="false" ht="12" hidden="false" customHeight="true" outlineLevel="0" collapsed="false"/>
    <row r="908" customFormat="false" ht="12" hidden="false" customHeight="true" outlineLevel="0" collapsed="false"/>
    <row r="909" customFormat="false" ht="12" hidden="false" customHeight="true" outlineLevel="0" collapsed="false"/>
    <row r="910" customFormat="false" ht="12" hidden="false" customHeight="true" outlineLevel="0" collapsed="false"/>
    <row r="911" customFormat="false" ht="12" hidden="false" customHeight="true" outlineLevel="0" collapsed="false"/>
    <row r="912" customFormat="false" ht="12" hidden="false" customHeight="true" outlineLevel="0" collapsed="false"/>
    <row r="913" customFormat="false" ht="12" hidden="false" customHeight="true" outlineLevel="0" collapsed="false"/>
    <row r="914" customFormat="false" ht="12" hidden="false" customHeight="true" outlineLevel="0" collapsed="false"/>
    <row r="915" customFormat="false" ht="12" hidden="false" customHeight="true" outlineLevel="0" collapsed="false"/>
    <row r="916" customFormat="false" ht="12" hidden="false" customHeight="true" outlineLevel="0" collapsed="false"/>
    <row r="917" customFormat="false" ht="12" hidden="false" customHeight="true" outlineLevel="0" collapsed="false"/>
    <row r="918" customFormat="false" ht="12" hidden="false" customHeight="true" outlineLevel="0" collapsed="false"/>
    <row r="919" customFormat="false" ht="12" hidden="false" customHeight="true" outlineLevel="0" collapsed="false"/>
    <row r="920" customFormat="false" ht="12" hidden="false" customHeight="true" outlineLevel="0" collapsed="false"/>
    <row r="921" customFormat="false" ht="12" hidden="false" customHeight="true" outlineLevel="0" collapsed="false"/>
    <row r="922" customFormat="false" ht="12" hidden="false" customHeight="true" outlineLevel="0" collapsed="false"/>
    <row r="923" customFormat="false" ht="12" hidden="false" customHeight="true" outlineLevel="0" collapsed="false"/>
    <row r="924" customFormat="false" ht="12" hidden="false" customHeight="true" outlineLevel="0" collapsed="false"/>
    <row r="925" customFormat="false" ht="12" hidden="false" customHeight="true" outlineLevel="0" collapsed="false"/>
    <row r="926" customFormat="false" ht="12" hidden="false" customHeight="true" outlineLevel="0" collapsed="false"/>
    <row r="927" customFormat="false" ht="12" hidden="false" customHeight="true" outlineLevel="0" collapsed="false"/>
    <row r="928" customFormat="false" ht="12" hidden="false" customHeight="true" outlineLevel="0" collapsed="false"/>
    <row r="929" customFormat="false" ht="12" hidden="false" customHeight="true" outlineLevel="0" collapsed="false"/>
    <row r="930" customFormat="false" ht="12" hidden="false" customHeight="true" outlineLevel="0" collapsed="false"/>
    <row r="931" customFormat="false" ht="12" hidden="false" customHeight="true" outlineLevel="0" collapsed="false"/>
    <row r="932" customFormat="false" ht="12" hidden="false" customHeight="true" outlineLevel="0" collapsed="false"/>
    <row r="933" customFormat="false" ht="12" hidden="false" customHeight="true" outlineLevel="0" collapsed="false"/>
    <row r="934" customFormat="false" ht="12" hidden="false" customHeight="true" outlineLevel="0" collapsed="false"/>
    <row r="935" customFormat="false" ht="12" hidden="false" customHeight="true" outlineLevel="0" collapsed="false"/>
    <row r="936" customFormat="false" ht="12" hidden="false" customHeight="true" outlineLevel="0" collapsed="false"/>
    <row r="937" customFormat="false" ht="12" hidden="false" customHeight="true" outlineLevel="0" collapsed="false"/>
    <row r="938" customFormat="false" ht="12" hidden="false" customHeight="true" outlineLevel="0" collapsed="false"/>
    <row r="939" customFormat="false" ht="12" hidden="false" customHeight="true" outlineLevel="0" collapsed="false"/>
    <row r="940" customFormat="false" ht="12" hidden="false" customHeight="true" outlineLevel="0" collapsed="false"/>
    <row r="941" customFormat="false" ht="12" hidden="false" customHeight="true" outlineLevel="0" collapsed="false"/>
    <row r="942" customFormat="false" ht="12" hidden="false" customHeight="true" outlineLevel="0" collapsed="false"/>
    <row r="943" customFormat="false" ht="12" hidden="false" customHeight="true" outlineLevel="0" collapsed="false"/>
    <row r="944" customFormat="false" ht="12" hidden="false" customHeight="true" outlineLevel="0" collapsed="false"/>
    <row r="945" customFormat="false" ht="12" hidden="false" customHeight="true" outlineLevel="0" collapsed="false"/>
    <row r="946" customFormat="false" ht="12" hidden="false" customHeight="true" outlineLevel="0" collapsed="false"/>
    <row r="947" customFormat="false" ht="12" hidden="false" customHeight="true" outlineLevel="0" collapsed="false"/>
    <row r="948" customFormat="false" ht="12" hidden="false" customHeight="true" outlineLevel="0" collapsed="false"/>
    <row r="949" customFormat="false" ht="12" hidden="false" customHeight="true" outlineLevel="0" collapsed="false"/>
    <row r="950" customFormat="false" ht="12" hidden="false" customHeight="true" outlineLevel="0" collapsed="false"/>
    <row r="951" customFormat="false" ht="12" hidden="false" customHeight="true" outlineLevel="0" collapsed="false"/>
    <row r="952" customFormat="false" ht="12" hidden="false" customHeight="true" outlineLevel="0" collapsed="false"/>
    <row r="953" customFormat="false" ht="12" hidden="false" customHeight="true" outlineLevel="0" collapsed="false"/>
    <row r="954" customFormat="false" ht="12" hidden="false" customHeight="true" outlineLevel="0" collapsed="false"/>
    <row r="955" customFormat="false" ht="12" hidden="false" customHeight="true" outlineLevel="0" collapsed="false"/>
    <row r="956" customFormat="false" ht="12" hidden="false" customHeight="true" outlineLevel="0" collapsed="false"/>
    <row r="957" customFormat="false" ht="12" hidden="false" customHeight="true" outlineLevel="0" collapsed="false"/>
    <row r="958" customFormat="false" ht="12" hidden="false" customHeight="true" outlineLevel="0" collapsed="false"/>
    <row r="959" customFormat="false" ht="12" hidden="false" customHeight="true" outlineLevel="0" collapsed="false"/>
    <row r="960" customFormat="false" ht="12" hidden="false" customHeight="true" outlineLevel="0" collapsed="false"/>
    <row r="961" customFormat="false" ht="12" hidden="false" customHeight="true" outlineLevel="0" collapsed="false"/>
    <row r="962" customFormat="false" ht="12" hidden="false" customHeight="true" outlineLevel="0" collapsed="false"/>
    <row r="963" customFormat="false" ht="12" hidden="false" customHeight="true" outlineLevel="0" collapsed="false"/>
    <row r="964" customFormat="false" ht="12" hidden="false" customHeight="true" outlineLevel="0" collapsed="false"/>
    <row r="965" customFormat="false" ht="12" hidden="false" customHeight="true" outlineLevel="0" collapsed="false"/>
    <row r="966" customFormat="false" ht="12" hidden="false" customHeight="true" outlineLevel="0" collapsed="false"/>
    <row r="967" customFormat="false" ht="12" hidden="false" customHeight="true" outlineLevel="0" collapsed="false"/>
    <row r="968" customFormat="false" ht="12" hidden="false" customHeight="true" outlineLevel="0" collapsed="false"/>
    <row r="969" customFormat="false" ht="12" hidden="false" customHeight="true" outlineLevel="0" collapsed="false"/>
    <row r="970" customFormat="false" ht="12" hidden="false" customHeight="true" outlineLevel="0" collapsed="false"/>
    <row r="971" customFormat="false" ht="12" hidden="false" customHeight="true" outlineLevel="0" collapsed="false"/>
    <row r="972" customFormat="false" ht="12" hidden="false" customHeight="true" outlineLevel="0" collapsed="false"/>
    <row r="973" customFormat="false" ht="12" hidden="false" customHeight="true" outlineLevel="0" collapsed="false"/>
    <row r="974" customFormat="false" ht="12" hidden="false" customHeight="true" outlineLevel="0" collapsed="false"/>
    <row r="975" customFormat="false" ht="12" hidden="false" customHeight="true" outlineLevel="0" collapsed="false"/>
    <row r="976" customFormat="false" ht="12" hidden="false" customHeight="true" outlineLevel="0" collapsed="false"/>
    <row r="977" customFormat="false" ht="12" hidden="false" customHeight="true" outlineLevel="0" collapsed="false"/>
    <row r="978" customFormat="false" ht="12" hidden="false" customHeight="true" outlineLevel="0" collapsed="false"/>
    <row r="979" customFormat="false" ht="12" hidden="false" customHeight="true" outlineLevel="0" collapsed="false"/>
    <row r="980" customFormat="false" ht="12" hidden="false" customHeight="true" outlineLevel="0" collapsed="false"/>
    <row r="981" customFormat="false" ht="12" hidden="false" customHeight="true" outlineLevel="0" collapsed="false"/>
    <row r="982" customFormat="false" ht="12" hidden="false" customHeight="true" outlineLevel="0" collapsed="false"/>
    <row r="983" customFormat="false" ht="12" hidden="false" customHeight="true" outlineLevel="0" collapsed="false"/>
    <row r="984" customFormat="false" ht="12" hidden="false" customHeight="true" outlineLevel="0" collapsed="false"/>
    <row r="985" customFormat="false" ht="12" hidden="false" customHeight="true" outlineLevel="0" collapsed="false"/>
    <row r="986" customFormat="false" ht="12" hidden="false" customHeight="true" outlineLevel="0" collapsed="false"/>
    <row r="987" customFormat="false" ht="12" hidden="false" customHeight="true" outlineLevel="0" collapsed="false"/>
    <row r="988" customFormat="false" ht="12" hidden="false" customHeight="true" outlineLevel="0" collapsed="false"/>
    <row r="989" customFormat="false" ht="12" hidden="false" customHeight="true" outlineLevel="0" collapsed="false"/>
    <row r="990" customFormat="false" ht="12" hidden="false" customHeight="true" outlineLevel="0" collapsed="false"/>
    <row r="991" customFormat="false" ht="12" hidden="false" customHeight="true" outlineLevel="0" collapsed="false"/>
    <row r="992" customFormat="false" ht="12" hidden="false" customHeight="true" outlineLevel="0" collapsed="false"/>
    <row r="993" customFormat="false" ht="12" hidden="false" customHeight="true" outlineLevel="0" collapsed="false"/>
    <row r="994" customFormat="false" ht="12" hidden="false" customHeight="true" outlineLevel="0" collapsed="false"/>
    <row r="995" customFormat="false" ht="12" hidden="false" customHeight="true" outlineLevel="0" collapsed="false"/>
    <row r="996" customFormat="false" ht="12" hidden="false" customHeight="true" outlineLevel="0" collapsed="false"/>
    <row r="997" customFormat="false" ht="12" hidden="false" customHeight="true" outlineLevel="0" collapsed="false"/>
    <row r="998" customFormat="false" ht="12" hidden="false" customHeight="true" outlineLevel="0" collapsed="false"/>
    <row r="999" customFormat="false" ht="12" hidden="false" customHeight="true" outlineLevel="0" collapsed="false"/>
    <row r="1000" customFormat="false" ht="12" hidden="false" customHeight="true" outlineLevel="0" collapsed="false"/>
  </sheetData>
  <mergeCells count="73">
    <mergeCell ref="B1:F1"/>
    <mergeCell ref="A3:G3"/>
    <mergeCell ref="A4:G4"/>
    <mergeCell ref="A5:D5"/>
    <mergeCell ref="E5:F5"/>
    <mergeCell ref="A6:D6"/>
    <mergeCell ref="E6:F6"/>
    <mergeCell ref="A7:D7"/>
    <mergeCell ref="E7:F7"/>
    <mergeCell ref="A8:D8"/>
    <mergeCell ref="E8:F8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G19"/>
    <mergeCell ref="A20:D20"/>
    <mergeCell ref="E20:G20"/>
    <mergeCell ref="A21:D21"/>
    <mergeCell ref="E21:G21"/>
    <mergeCell ref="A22:D22"/>
    <mergeCell ref="E22:G22"/>
    <mergeCell ref="A23:D23"/>
    <mergeCell ref="E23:G23"/>
    <mergeCell ref="A24:G24"/>
    <mergeCell ref="A25:B29"/>
    <mergeCell ref="C25:D25"/>
    <mergeCell ref="E25:G25"/>
    <mergeCell ref="E26:G26"/>
    <mergeCell ref="E27:G27"/>
    <mergeCell ref="E28:G28"/>
    <mergeCell ref="E29:G29"/>
    <mergeCell ref="A30:G30"/>
    <mergeCell ref="A31:D31"/>
    <mergeCell ref="E31:G31"/>
    <mergeCell ref="A32:D32"/>
    <mergeCell ref="E32:G32"/>
    <mergeCell ref="A33:D33"/>
    <mergeCell ref="E33:G33"/>
    <mergeCell ref="A34:D34"/>
    <mergeCell ref="E34:G34"/>
    <mergeCell ref="A35:D35"/>
    <mergeCell ref="E35:G35"/>
    <mergeCell ref="A36:G36"/>
    <mergeCell ref="A37:D37"/>
    <mergeCell ref="E37:G37"/>
    <mergeCell ref="A38:D38"/>
    <mergeCell ref="E38:G38"/>
    <mergeCell ref="A39:D39"/>
    <mergeCell ref="E39:G39"/>
    <mergeCell ref="A40:D40"/>
    <mergeCell ref="E40:G40"/>
    <mergeCell ref="A41:G41"/>
    <mergeCell ref="A42:D42"/>
    <mergeCell ref="E42:G42"/>
    <mergeCell ref="A43:D46"/>
    <mergeCell ref="E43:G46"/>
    <mergeCell ref="A47:G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2006-11-03T19:24:33Z</dcterms:created>
  <dc:creator>glopez</dc:creator>
  <dc:description/>
  <dc:language>en-US</dc:language>
  <cp:lastModifiedBy>Tomas Lobillo</cp:lastModifiedBy>
  <dcterms:modified xsi:type="dcterms:W3CDTF">2026-05-28T00:56:52Z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